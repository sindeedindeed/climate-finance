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ish\Downloads\"/>
    </mc:Choice>
  </mc:AlternateContent>
  <xr:revisionPtr revIDLastSave="0" documentId="13_ncr:1_{A1515453-06FF-4C56-818B-4FA13E3D69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. Portfolio- GCF" sheetId="2" r:id="rId1"/>
    <sheet name="2. Portfolio-AF" sheetId="4" r:id="rId2"/>
    <sheet name="3. Portfolio-GEF" sheetId="3" r:id="rId3"/>
    <sheet name="4.Portfolio-ERD" sheetId="5" r:id="rId4"/>
    <sheet name="5. CR Calculati" sheetId="8" r:id="rId5"/>
    <sheet name="5a. GCF Climate Relevance " sheetId="11" r:id="rId6"/>
    <sheet name="5b. AF Climate Relevance" sheetId="9" r:id="rId7"/>
    <sheet name="5c. GEF Climate Relevance" sheetId="10" r:id="rId8"/>
    <sheet name="5d. ERD Climate Relevance " sheetId="7" r:id="rId9"/>
  </sheets>
  <definedNames>
    <definedName name="_xlnm.Print_Area" localSheetId="1">'2. Portfolio-AF'!$A$1:$T$5</definedName>
    <definedName name="_xlnm.Print_Area" localSheetId="2">'3. Portfolio-GEF'!$A$1:$T$35</definedName>
    <definedName name="_xlnm.Print_Area" localSheetId="3">'4.Portfolio-ERD'!$A$1:$T$22</definedName>
    <definedName name="_xlnm.Print_Area" localSheetId="4">'5. CR Calculati'!$A$1:$B$71</definedName>
    <definedName name="_xlnm.Print_Area" localSheetId="5">'5a. GCF Climate Relevance '!$A$1:$J$55</definedName>
    <definedName name="_xlnm.Print_Area" localSheetId="6">'5b. AF Climate Relevance'!$A$1:$J$55</definedName>
    <definedName name="_xlnm.Print_Area" localSheetId="7">'5c. GEF Climate Relevance'!$A$1:$J$79</definedName>
    <definedName name="_xlnm.Print_Area" localSheetId="8">'5d. ERD Climate Relevance '!$A$1:$J$53</definedName>
  </definedNames>
  <calcPr calcId="181029"/>
</workbook>
</file>

<file path=xl/calcChain.xml><?xml version="1.0" encoding="utf-8"?>
<calcChain xmlns="http://schemas.openxmlformats.org/spreadsheetml/2006/main">
  <c r="F23" i="11" l="1"/>
  <c r="F22" i="11"/>
  <c r="F21" i="11"/>
  <c r="F20" i="11"/>
  <c r="F19" i="11"/>
  <c r="F18" i="11"/>
  <c r="F16" i="11"/>
  <c r="F15" i="11"/>
  <c r="F14" i="11"/>
  <c r="F13" i="11"/>
  <c r="F12" i="11"/>
  <c r="F10" i="11"/>
  <c r="F9" i="11"/>
  <c r="F8" i="11"/>
  <c r="F7" i="11"/>
  <c r="F6" i="11"/>
  <c r="F5" i="11"/>
  <c r="F4" i="11"/>
  <c r="F3" i="11"/>
  <c r="F10" i="10"/>
  <c r="F11" i="10"/>
  <c r="H26" i="10"/>
  <c r="F5" i="10"/>
  <c r="F18" i="10"/>
  <c r="G18" i="10" s="1"/>
  <c r="H18" i="10" s="1"/>
  <c r="F21" i="10"/>
  <c r="G21" i="10" s="1"/>
  <c r="H21" i="10" s="1"/>
  <c r="F23" i="10"/>
  <c r="G23" i="10" s="1"/>
  <c r="H23" i="10" s="1"/>
  <c r="F26" i="10"/>
  <c r="G26" i="10" s="1"/>
  <c r="F28" i="10"/>
  <c r="G28" i="10" s="1"/>
  <c r="H28" i="10" s="1"/>
  <c r="F31" i="10"/>
  <c r="F32" i="10"/>
  <c r="F33" i="10"/>
  <c r="F34" i="10"/>
  <c r="G33" i="10" s="1"/>
  <c r="H33" i="10" s="1"/>
  <c r="F35" i="10"/>
  <c r="G35" i="10" s="1"/>
  <c r="H35" i="10" s="1"/>
  <c r="F37" i="10"/>
  <c r="G37" i="10" s="1"/>
  <c r="H37" i="10" s="1"/>
  <c r="F40" i="10"/>
  <c r="G40" i="10" s="1"/>
  <c r="H40" i="10" s="1"/>
  <c r="F43" i="10"/>
  <c r="F44" i="10"/>
  <c r="F45" i="10"/>
  <c r="G45" i="10" s="1"/>
  <c r="H45" i="10" s="1"/>
  <c r="F46" i="10"/>
  <c r="F47" i="10"/>
  <c r="G46" i="10" s="1"/>
  <c r="H46" i="10" s="1"/>
  <c r="F49" i="10"/>
  <c r="F50" i="10"/>
  <c r="F51" i="10"/>
  <c r="G51" i="10" s="1"/>
  <c r="F52" i="10"/>
  <c r="F53" i="10"/>
  <c r="G53" i="10" s="1"/>
  <c r="H53" i="10" s="1"/>
  <c r="F54" i="10"/>
  <c r="G54" i="10" s="1"/>
  <c r="H54" i="10" s="1"/>
  <c r="F56" i="10"/>
  <c r="F57" i="10"/>
  <c r="F58" i="10"/>
  <c r="F55" i="10"/>
  <c r="F59" i="10"/>
  <c r="G59" i="10" s="1"/>
  <c r="H59" i="10" s="1"/>
  <c r="G60" i="10"/>
  <c r="H60" i="10" s="1"/>
  <c r="F63" i="10"/>
  <c r="F64" i="10"/>
  <c r="F65" i="10"/>
  <c r="F66" i="10"/>
  <c r="F62" i="10"/>
  <c r="G62" i="10" s="1"/>
  <c r="H62" i="10" s="1"/>
  <c r="F68" i="10"/>
  <c r="G68" i="10" s="1"/>
  <c r="H68" i="10" s="1"/>
  <c r="F67" i="10"/>
  <c r="G67" i="10" s="1"/>
  <c r="H67" i="10" s="1"/>
  <c r="F69" i="10"/>
  <c r="F70" i="10"/>
  <c r="F71" i="10"/>
  <c r="F72" i="10"/>
  <c r="F74" i="10"/>
  <c r="F73" i="10"/>
  <c r="F15" i="10"/>
  <c r="G15" i="10" s="1"/>
  <c r="H15" i="10" s="1"/>
  <c r="F14" i="10"/>
  <c r="F13" i="10"/>
  <c r="F12" i="10"/>
  <c r="F9" i="10"/>
  <c r="F7" i="10"/>
  <c r="F6" i="10"/>
  <c r="F4" i="10"/>
  <c r="F3" i="10"/>
  <c r="G9" i="9"/>
  <c r="F5" i="9"/>
  <c r="F3" i="9"/>
  <c r="F14" i="9"/>
  <c r="F10" i="9"/>
  <c r="F9" i="9"/>
  <c r="F8" i="9"/>
  <c r="F11" i="9"/>
  <c r="F13" i="9"/>
  <c r="F12" i="9"/>
  <c r="G12" i="9" s="1"/>
  <c r="F7" i="9"/>
  <c r="F6" i="9"/>
  <c r="F4" i="9"/>
  <c r="H44" i="7"/>
  <c r="F44" i="7"/>
  <c r="F53" i="7"/>
  <c r="H53" i="7" s="1"/>
  <c r="F52" i="7"/>
  <c r="F51" i="7"/>
  <c r="F50" i="7"/>
  <c r="F49" i="7"/>
  <c r="F48" i="7"/>
  <c r="G47" i="7" s="1"/>
  <c r="H47" i="7" s="1"/>
  <c r="F47" i="7"/>
  <c r="F46" i="7"/>
  <c r="F45" i="7"/>
  <c r="G45" i="7" s="1"/>
  <c r="H45" i="7" s="1"/>
  <c r="F43" i="7"/>
  <c r="F42" i="7"/>
  <c r="F41" i="7"/>
  <c r="F39" i="7"/>
  <c r="F40" i="7"/>
  <c r="F38" i="7"/>
  <c r="F37" i="7"/>
  <c r="F36" i="7"/>
  <c r="F35" i="7"/>
  <c r="F34" i="7"/>
  <c r="F33" i="7"/>
  <c r="G33" i="7" s="1"/>
  <c r="H33" i="7" s="1"/>
  <c r="F32" i="7"/>
  <c r="F31" i="7"/>
  <c r="F30" i="7"/>
  <c r="F29" i="7"/>
  <c r="F27" i="7"/>
  <c r="F26" i="7"/>
  <c r="F25" i="7"/>
  <c r="F24" i="7"/>
  <c r="G24" i="7" s="1"/>
  <c r="H24" i="7" s="1"/>
  <c r="F22" i="7"/>
  <c r="F23" i="7"/>
  <c r="F21" i="7"/>
  <c r="F20" i="7"/>
  <c r="F19" i="7"/>
  <c r="F17" i="7"/>
  <c r="F18" i="7"/>
  <c r="F16" i="7"/>
  <c r="F15" i="7"/>
  <c r="F14" i="7"/>
  <c r="F13" i="7"/>
  <c r="F12" i="7"/>
  <c r="F11" i="7"/>
  <c r="F10" i="7"/>
  <c r="F9" i="7"/>
  <c r="F7" i="7"/>
  <c r="F8" i="7"/>
  <c r="F6" i="7"/>
  <c r="F4" i="7"/>
  <c r="F5" i="7"/>
  <c r="F3" i="7"/>
  <c r="I24" i="3"/>
  <c r="I32" i="3"/>
  <c r="I30" i="3"/>
  <c r="I28" i="3"/>
  <c r="I29" i="3"/>
  <c r="I27" i="3"/>
  <c r="I4" i="3"/>
  <c r="I3" i="3"/>
  <c r="I5" i="3"/>
  <c r="I6" i="3"/>
  <c r="I7" i="3"/>
  <c r="I31" i="3"/>
  <c r="I33" i="3"/>
  <c r="I34" i="3"/>
  <c r="I35" i="3"/>
  <c r="I25" i="3"/>
  <c r="I26" i="3"/>
  <c r="I2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G18" i="11" l="1"/>
  <c r="H18" i="11" s="1"/>
  <c r="G21" i="11"/>
  <c r="H21" i="11" s="1"/>
  <c r="G15" i="11"/>
  <c r="H15" i="11" s="1"/>
  <c r="G9" i="11"/>
  <c r="H9" i="11" s="1"/>
  <c r="G6" i="11"/>
  <c r="H6" i="11" s="1"/>
  <c r="G12" i="11"/>
  <c r="H12" i="11" s="1"/>
  <c r="G3" i="11"/>
  <c r="H3" i="11" s="1"/>
  <c r="G57" i="10"/>
  <c r="H57" i="10" s="1"/>
  <c r="G43" i="10"/>
  <c r="H43" i="10" s="1"/>
  <c r="G73" i="10"/>
  <c r="H73" i="10" s="1"/>
  <c r="G65" i="10"/>
  <c r="H65" i="10" s="1"/>
  <c r="H51" i="10"/>
  <c r="G71" i="10"/>
  <c r="H71" i="10" s="1"/>
  <c r="G63" i="10"/>
  <c r="H63" i="10" s="1"/>
  <c r="G55" i="10"/>
  <c r="H55" i="10" s="1"/>
  <c r="G69" i="10"/>
  <c r="H69" i="10" s="1"/>
  <c r="G49" i="10"/>
  <c r="H49" i="10" s="1"/>
  <c r="G31" i="10"/>
  <c r="H31" i="10" s="1"/>
  <c r="G12" i="10"/>
  <c r="H12" i="10" s="1"/>
  <c r="G9" i="10"/>
  <c r="H9" i="10" s="1"/>
  <c r="G6" i="10"/>
  <c r="G3" i="10"/>
  <c r="H3" i="10" s="1"/>
  <c r="G6" i="9"/>
  <c r="H12" i="9"/>
  <c r="H9" i="9"/>
  <c r="H6" i="9"/>
  <c r="G3" i="9"/>
  <c r="H3" i="9" s="1"/>
  <c r="G50" i="7"/>
  <c r="H50" i="7" s="1"/>
  <c r="G38" i="7"/>
  <c r="H38" i="7" s="1"/>
  <c r="G53" i="7"/>
  <c r="G41" i="7"/>
  <c r="H41" i="7" s="1"/>
  <c r="G35" i="7"/>
  <c r="H35" i="7" s="1"/>
  <c r="G26" i="7"/>
  <c r="H26" i="7" s="1"/>
  <c r="G31" i="7"/>
  <c r="H31" i="7" s="1"/>
  <c r="G29" i="7"/>
  <c r="H29" i="7" s="1"/>
  <c r="G21" i="7"/>
  <c r="H21" i="7" s="1"/>
  <c r="G19" i="7"/>
  <c r="H19" i="7" s="1"/>
  <c r="G13" i="7"/>
  <c r="H13" i="7" s="1"/>
  <c r="G16" i="7"/>
  <c r="H16" i="7" s="1"/>
  <c r="G11" i="7"/>
  <c r="H11" i="7" s="1"/>
  <c r="G9" i="7"/>
  <c r="H9" i="7" s="1"/>
  <c r="G6" i="7"/>
  <c r="H6" i="7" s="1"/>
  <c r="G3" i="7"/>
  <c r="H3" i="7" s="1"/>
</calcChain>
</file>

<file path=xl/sharedStrings.xml><?xml version="1.0" encoding="utf-8"?>
<sst xmlns="http://schemas.openxmlformats.org/spreadsheetml/2006/main" count="1624" uniqueCount="1255">
  <si>
    <t>Project ID</t>
  </si>
  <si>
    <t>Project Name</t>
  </si>
  <si>
    <t>EA</t>
  </si>
  <si>
    <t>DP</t>
  </si>
  <si>
    <t>Loan (USD M)</t>
  </si>
  <si>
    <t>Grant (USD M)</t>
  </si>
  <si>
    <t>Total Financing (USD M)</t>
  </si>
  <si>
    <t>Year / Period</t>
  </si>
  <si>
    <t>Location</t>
  </si>
  <si>
    <t>WASH Components &amp; % Budget</t>
  </si>
  <si>
    <t>Climate Relevance Score (%)</t>
  </si>
  <si>
    <t>Beneficiary Focus</t>
  </si>
  <si>
    <t>Gender &amp; Inclusion (Design + Data)</t>
  </si>
  <si>
    <t>Equity Marker</t>
  </si>
  <si>
    <t>Alignment (SDG / NAP / CFF)</t>
  </si>
  <si>
    <t>Assessment</t>
  </si>
  <si>
    <t>Project Information</t>
  </si>
  <si>
    <t>Rural WASH for HCD</t>
  </si>
  <si>
    <t>Chattogram WSS Project 2</t>
  </si>
  <si>
    <t>LGD</t>
  </si>
  <si>
    <t>DPHE &amp; PKSF</t>
  </si>
  <si>
    <t>Chattogram WASA</t>
  </si>
  <si>
    <t>WB (IDA) / AIIB</t>
  </si>
  <si>
    <t>WB (IDA)</t>
  </si>
  <si>
    <t>Strong</t>
  </si>
  <si>
    <t>SDG 6.1, 6.2, 6.b; NAP 2050</t>
  </si>
  <si>
    <t>SDG 6.1, 6.2; NAP 2050</t>
  </si>
  <si>
    <t>Hotspot / Vulnerability Type</t>
  </si>
  <si>
    <t>Extended Community Climate Change Project – Drought (ECCCP-Drought)</t>
  </si>
  <si>
    <t>Resilient Homestead and Livelihood Support to Vulnerable Coastal People (RHL)</t>
  </si>
  <si>
    <t>Extended Community Climate Change Project – Flood (ECCCP-Flood)</t>
  </si>
  <si>
    <t>Global Clean Cooking Program – Bangladesh</t>
  </si>
  <si>
    <t>Enhancing Adaptive Capacities of Coastal Communities (Salinity Project)</t>
  </si>
  <si>
    <t>Climate Resilient Infrastructure Mainstreaming (CRIM)</t>
  </si>
  <si>
    <t>PKSF</t>
  </si>
  <si>
    <t>IDCOL</t>
  </si>
  <si>
    <t>UNDP</t>
  </si>
  <si>
    <t>KFW</t>
  </si>
  <si>
    <t>Co Finance (USD M)</t>
  </si>
  <si>
    <t>(2023–2027)</t>
  </si>
  <si>
    <t>(2023–2028)</t>
  </si>
  <si>
    <t>(2020–2026)</t>
  </si>
  <si>
    <t>(2018–2024)</t>
  </si>
  <si>
    <t>Multilateral Implementing Entities</t>
  </si>
  <si>
    <t>MoEFCC</t>
  </si>
  <si>
    <t>Rajshahi, Naogaon, Chapainawabganj</t>
  </si>
  <si>
    <t>Khulna, Bagerhat, Barguna, Satkhira</t>
  </si>
  <si>
    <t>Dhaka, Narayanganj, Gazipur</t>
  </si>
  <si>
    <t>Nilphamari, Gaibandha (char and flood-prone areas)</t>
  </si>
  <si>
    <t xml:space="preserve">Nationwide </t>
  </si>
  <si>
    <t>rural and peri-urban households</t>
  </si>
  <si>
    <t>Khulna and Satkhira</t>
  </si>
  <si>
    <t>Khulna, Barisal divisions (incl. Satkhira urban pilot)</t>
  </si>
  <si>
    <t>✔ 50% beneficiaries women; priority for women-headed households. 
✔ CCAGs with ≥50% women; monthly climate &amp; WASH meetings. 
✔ Gender Action Plan &amp; disaggregated beneficiary tracking. 
✔ Reduces women’s drudgery (3+ miles fetching water) &amp; time poverty</t>
  </si>
  <si>
    <t>✔ Strong gender focus: ~50% of 362,475 direct beneficiaries are women. 
✔ 80% of Climate Change Adaptation Groups (CCAGs) formed under the project are women. 
✔ Dedicated gender budget (~USD 23.9M) for women’s participation. 
✔ Gender Action Plan with sex- and age-disaggregated data; addresses SEAH/GBV risks with zero-tolerance policy.</t>
  </si>
  <si>
    <t>~50% women among 90,000 direct beneficiaries. 
✔ 80% of CCAG members are women (~16,000), including female-headed households. 
✔ Sex-disaggregated monitoring; women prioritized for WASH and livelihood training. 
✔ Reduces risks of harassment linked to sanitation insecurity.</t>
  </si>
  <si>
    <t>✔ Women recognized as primary users of cooking technology; time saved (~3.5 hrs/day) reduces unpaid care burden. 
✔ Gender Action Plan requires ≥50% women among direct beneficiaries. 
✔ Addresses gender-specific barriers to clean energy (affordability, safety, social acceptance). 
✔ Collects sex-disaggregated data; engages women in community awareness &amp; as entrepreneurs.</t>
  </si>
  <si>
    <t>✔ Gender-sensitive infrastructure design: separate toilets, spaces for women, pregnancy rooms, ramps for disabled. 
✔ Women in local Shelter Management Committees &amp; disaster groups (equal representation). 
✔ Project collects sex-disaggregated beneficiary data for ~134,000 direct users and 10.4M indirect.</t>
  </si>
  <si>
    <t>✔ Explicit gender objective: women and girls as “agents of change” in adaptation. 
✔ Strong focus on reducing women’s time burden collecting water. 
✔ Women targeted in leadership roles in water user groups and livelihood programs. 
✔ Sex- and age-disaggregated indicators tracked.</t>
  </si>
  <si>
    <t xml:space="preserve">Directly targets 215,000 people across 14 drought-prone upazilas in Rajshahi, Naogaon, Chapainawabganj. </t>
  </si>
  <si>
    <t xml:space="preserve">Targets 362,475 direct and 770,000 indirect beneficiaries </t>
  </si>
  <si>
    <t xml:space="preserve">Strong SDG 7 (energy) &amp; SDG 3 (health) contributions, plus indirect WASH/health benefits. 
NAP alignment: supports health, DRR, and gender empowerment, but limited on water/sanitation infrastructure. </t>
  </si>
  <si>
    <t xml:space="preserve">Targets ~90,000 direct and 100,000 indirect beneficiaries in char and floodplain areas. s </t>
  </si>
  <si>
    <t xml:space="preserve">NAP alignment: flood resilience, displacement, social protection. 
Strength: strong gender equity in access and group participation. </t>
  </si>
  <si>
    <t xml:space="preserve"> Implementing Entities</t>
  </si>
  <si>
    <t>Executing Agency</t>
  </si>
  <si>
    <t>Green, Resilient, and Adaptive CHT Economy (GRACE‑LoCALplus)</t>
  </si>
  <si>
    <t>Hydrological Status &amp; Outlook System (HydroSOS‑BaNe)</t>
  </si>
  <si>
    <t>Adaptation Initiative for Offshore Islands &amp; Riverine Charlands</t>
  </si>
  <si>
    <t>Large Innovation Project for Bangladesh  Solar‑powered RO Drinking Water Innovation (PKSF proposal)</t>
  </si>
  <si>
    <t xml:space="preserve">WMO </t>
  </si>
  <si>
    <t xml:space="preserve">PKSF </t>
  </si>
  <si>
    <t>Bangladesh Meteorological Dept.</t>
  </si>
  <si>
    <t>2024–2029</t>
  </si>
  <si>
    <t xml:space="preserve">2025–2029 </t>
  </si>
  <si>
    <t>2021–2026</t>
  </si>
  <si>
    <t>2025–2030</t>
  </si>
  <si>
    <t>10 million</t>
  </si>
  <si>
    <t>11.15 million</t>
  </si>
  <si>
    <t>9.995 million</t>
  </si>
  <si>
    <t>5 million</t>
  </si>
  <si>
    <t>Rainwater harvesting, spring revival, watershed mgmt; WASH prioritized in investment menu; responds to severe deficits in CHT (65% safe water access, open defecation common)
WASH (%):~20–25%</t>
  </si>
  <si>
    <t>Indirect: Focus on hydrological monitoring, drought/flood forecasting, risk maps, and climate-informed water management. Some pilot sites (e.g., Kurigram, Lalmonirhat) face drinking water stress, but project does not deliver direct WASH hardware.
Estimated WASH (%):
Minimal (&lt;5%)</t>
  </si>
  <si>
    <t>Direct WASH linkages: rainwater harvesting, resilient pond/tube wells, climate-resilient housing with WASH facilities. 
⚠️ Sanitation &amp; hygiene promotion only partial.
Estimated WASH Budget (%):
15–20% (water infra + housing-linked WASH)</t>
  </si>
  <si>
    <t>Core WASH focus: solar-powered reverse osmosis systems for saline-prone coastal districts; community-based management of safe water kiosks; training on O&amp;M; explicit linkage to climate-resilient livelihoods (reducing health and productivity losses from saline water).
Estimated WASH Budget (%):~80–90% (nearly full allocation to water infra, training, and O&amp;M)</t>
  </si>
  <si>
    <t>Chittagong Hill Tracts (Khagrachhari, Rangamati, Bandarban)</t>
  </si>
  <si>
    <t>Regional (Bangladesh + Nepal) — pilot sites in  Kurigram, Lalmonirhat</t>
  </si>
  <si>
    <t>Riverine chars and offshore islands — Noakhali, Bhola, Sandwip, coastal chars</t>
  </si>
  <si>
    <t>Southwest coastal salinity belt — Khulna, Satkhira, Bagerhat</t>
  </si>
  <si>
    <t>✔ Gender-responsive strategy with ≥50% women in LAPAs and grants; addresses double marginalization of tribal women; adolescent girls and youth included; full sex- and ethnicity-disaggregated M&amp;E</t>
  </si>
  <si>
    <t>✔ Gender Action Plan mainstreamed; requires ≥50% women’s participation in community adaptation committees. 
✔ Women-led livelihood &amp; water user groups included. 
✔ Sex- and age-disaggregated beneficiary data planned in M&amp;E.</t>
  </si>
  <si>
    <t>✔ Women-centered approach: women’s cooperatives and CBOs lead procurement, operation, and tariff collection. 
✔ Explicit targets: ≥50% of beneficiaries and trainees are women. 
✔ Monitoring includes sex- and age-disaggregated data on users, time saved, and income co-benefits.</t>
  </si>
  <si>
    <t>aligned with NAP priorities on local adaptation &amp; climate-resilient WASH</t>
  </si>
  <si>
    <t>AFB-PPRC-ICIMOD-2024</t>
  </si>
  <si>
    <t>MoEFCC, LGD, UNCDF, Chattogram Hill Tracts Ministry</t>
  </si>
  <si>
    <t>Local Government Institutions, NGOs</t>
  </si>
  <si>
    <t>Targets 276,222 people (15% of CHT population); ndigenous communities, women, marginal hill dwellers</t>
  </si>
  <si>
    <t>AFB-PPRC-WMO-2025</t>
  </si>
  <si>
    <t>Ministry of Water Resources, Flood Forecasting and Warning Centre</t>
  </si>
  <si>
    <t>Transboundary river basins; flood and drought risk zones</t>
  </si>
  <si>
    <t>Regional (Bangladesh + Nepal) project; directly benefits ~10,000, indirectly &gt;1 million
Govt planners, farmers, flood-prone communities</t>
  </si>
  <si>
    <t>Gender mainstreaming required under AF ESP; capacity-building modules on gender in flood/drought mgmt.; WMO’s Training Manual for Gender in EWS applied. 
✔ Risk mapping and vulnerability analysis include sex-, age-, and ethnicity-disaggregated data. 
✔ Women, elderly, youth, and Dalit/indigenous groups targeted in community consultations &amp; pilots.
Gender-disaggregated data, gender-sensitive training in hydrology</t>
  </si>
  <si>
    <t>Strong NAP/NDC alignment (integrated flood/drought mgmt., food security, disaster risk reduction). 
SDG 6, 13; supports NAP Pillar 1 (Data)</t>
  </si>
  <si>
    <t>AFB-UNDP-BGD-2021</t>
  </si>
  <si>
    <t>MoEFCC Department of Environment, Local LGIs</t>
  </si>
  <si>
    <t>Community-Based Organizations (CBOs), Union Parishads</t>
  </si>
  <si>
    <t>River erosion, cyclones, salinity, isolation</t>
  </si>
  <si>
    <t xml:space="preserve">Targeted to most climate-vulnerable chars (riverine sandbars) &amp; offshore islands, where salinity and water scarcity are critical.Island dwellers, women, displaced/landle </t>
  </si>
  <si>
    <t xml:space="preserve">SDG 6, 13, 11; NAP Pillar
Strong NAP alignment: water security, food security, disaster risk reduction.  </t>
  </si>
  <si>
    <t>AFB-PKSF-INNO-2024</t>
  </si>
  <si>
    <t>PKSF + Partner NGOs</t>
  </si>
  <si>
    <t>Community Microfinance Partners</t>
  </si>
  <si>
    <t>Salinity, cyclone-prone coastal zone</t>
  </si>
  <si>
    <t>Coastal poor, saline-exposed women</t>
  </si>
  <si>
    <t>SDG 6, 5, 13; NAP Pillar 2, Innovation finance goals</t>
  </si>
  <si>
    <t>GEF Project ID 455</t>
  </si>
  <si>
    <t>GEF Project ID 618</t>
  </si>
  <si>
    <t>GEF Project ID 619</t>
  </si>
  <si>
    <t>GEF Project ID
668</t>
  </si>
  <si>
    <t>GEF Project ID 808</t>
  </si>
  <si>
    <t>GEF Project ID 1209</t>
  </si>
  <si>
    <t>GEF Project ID 1595</t>
  </si>
  <si>
    <t>GEF Project ID 1901</t>
  </si>
  <si>
    <t>GEF Project ID 2026</t>
  </si>
  <si>
    <t>GEF Project ID 2533</t>
  </si>
  <si>
    <t>GEF Project ID 3287</t>
  </si>
  <si>
    <t>GEF Project ID 3306</t>
  </si>
  <si>
    <t xml:space="preserve">GEF Project ID 4022 
</t>
  </si>
  <si>
    <t>GEF Project ID 4459</t>
  </si>
  <si>
    <t>GEF Project ID 4686</t>
  </si>
  <si>
    <t>GEF Project ID 4700</t>
  </si>
  <si>
    <t>GEF Project ID 4858</t>
  </si>
  <si>
    <t>GEF Project ID 4931</t>
  </si>
  <si>
    <t>GEF Project ID 5018</t>
  </si>
  <si>
    <t>GEF Project ID 5099</t>
  </si>
  <si>
    <t>GEF Project ID 5106</t>
  </si>
  <si>
    <t>GEF Project ID 5189</t>
  </si>
  <si>
    <t>GEF Project ID 5456</t>
  </si>
  <si>
    <t>GEF Project ID 5636</t>
  </si>
  <si>
    <t>GEF Project ID 5823</t>
  </si>
  <si>
    <t>GEF Project ID 8036</t>
  </si>
  <si>
    <t>GEF Project ID 9076</t>
  </si>
  <si>
    <t>GEF Project ID 9368</t>
  </si>
  <si>
    <t>GEF Project ID 9913</t>
  </si>
  <si>
    <t>GEF Project ID 9957</t>
  </si>
  <si>
    <t>GEF Project ID 9986</t>
  </si>
  <si>
    <t>GEF Project ID 10207</t>
  </si>
  <si>
    <t>GEF Project ID 10640</t>
  </si>
  <si>
    <t>GEF Project ID 10702</t>
  </si>
  <si>
    <t>Biodiversity Conservation in the Sundarbans Reserved Forest</t>
  </si>
  <si>
    <t>Aquatic Biodiversity Conservation</t>
  </si>
  <si>
    <t>Prepare its Initial National Communication in Response to its Commitments to UNFCCC</t>
  </si>
  <si>
    <t>Coastal and Wetland Biodiversity Management at Cox's Bazar and Hakakuki Haor</t>
  </si>
  <si>
    <t xml:space="preserve">Bangladesh Biodiversity Strategic Action Plan </t>
  </si>
  <si>
    <t>Rural Electrification and Renewable Energy Development</t>
  </si>
  <si>
    <t>Preparation of the POPs National Implementation Plan under the Stockholm Convention</t>
  </si>
  <si>
    <t>Improving Kiln Efficiency in the Brick Making Industry in Bangladesh</t>
  </si>
  <si>
    <t>National Adapation Programme of Action</t>
  </si>
  <si>
    <t>National Capacity Self Assessment for Global Environmental Management</t>
  </si>
  <si>
    <t>Community-Based Adaptation to Climate Change through Coastal Afforestation</t>
  </si>
  <si>
    <t>LDC/SIDS Portfolio Project: Capacity Building and Resource Mobilization for Sustainable Land Management in Bangladesh</t>
  </si>
  <si>
    <t>Support to the implementation of the national biosafety framework for Bangladesh</t>
  </si>
  <si>
    <t>Development of Sustainable Renewable Energy Power Generation (SREPGen)</t>
  </si>
  <si>
    <t>Bangladesh: Updating and Mainstreaming of National BD Strategy and Action Plan</t>
  </si>
  <si>
    <t>Integrating Community-based Adaptation into Afforestation and Reforestation Programmes in Bangladesh</t>
  </si>
  <si>
    <t>Environmentally-sound Development of the Power Sector with the Final Disposal of PCBs</t>
  </si>
  <si>
    <t>ASTUD: Greater Dhaka Sustainable Urban Transport Corridor Project</t>
  </si>
  <si>
    <t>Revision and Alignment of National Action Program NAP with UNCCD 10 Years Strategic Plan and Framework</t>
  </si>
  <si>
    <t>Expanding the PA System to Incorporate Important Aquatic Ecosystems</t>
  </si>
  <si>
    <t>National Capacity Development for Implementing Rio Conventions Through Environmental Governance</t>
  </si>
  <si>
    <t>Third National Communication to the UNFCCC</t>
  </si>
  <si>
    <t>Ecosystem-based Approaches to Adaptation (EbA) in the Drought-prone Barind Tract and Haor "Wetland" Area</t>
  </si>
  <si>
    <t>Community-based Climate Resilient Fisheries and Aquaculture Development in Bangladesh</t>
  </si>
  <si>
    <t>Establishing National Land Use and Land Degradation Profile toward Mainstreaming Sustainable Land Management Practices in Sector Policies – ENALULDEP/SLM</t>
  </si>
  <si>
    <t>Integrating Climate Change Adaptation into Sustainable Development Pathways of Bangladesh</t>
  </si>
  <si>
    <t>Pesticide Risk Reduction in Bangladesh</t>
  </si>
  <si>
    <t>Promoting Low Carbon Urban Development in Bangladesh</t>
  </si>
  <si>
    <t>Bangladesh: First Biennial Update Report (BUR1) to the UNFCCC</t>
  </si>
  <si>
    <t>Strengthening Capacity for Monitoring Environmental Emissions under the Paris Agreement in Bangladesh</t>
  </si>
  <si>
    <t>Building climate resilient livelihoods in vulnerable landscapes in Bangladesh (BCRL)</t>
  </si>
  <si>
    <t>Enabling Electric Vehicles (EVs) Adoption in the framework of Sustainable energy based Transportation in Bangladesh</t>
  </si>
  <si>
    <t>Community-based Management of Tanguar Haor Wetland in Bangladesh</t>
  </si>
  <si>
    <t>MoEFCC / DoE (EE)</t>
  </si>
  <si>
    <t>✅ Direct WASH relevance: pond &amp; canal re-excavation; rainwater harvesting systems; groundwater recharge structures; wetland restoration to secure drinking water &amp; reduce flood risk
20–25% (of USD 5.2M LDCF + USD 17M co-finance)</t>
  </si>
  <si>
    <t>✔ Gender mainstreamed throughout project cycle. 
✔ Women and youth prioritized in EbA training, rainwater use, and alternative livelihoods. 
✔ Sex-disaggregated indicators integrated into M&amp;E. 
✔ Addresses women’s water burden in Barind &amp; Haor; engages CARE and local women’s networks.</t>
  </si>
  <si>
    <t>Department of Environment (DoE), MoEFCC</t>
  </si>
  <si>
    <t>⚠️ Indirect WASH linkages – interventions on water quality (10–15% improvement at monitoring stations), pollution control, sustainable agriculture/fisheries practices, reedbed/riverbank stabilization, and alternative energy reducing fuelwood dependence
Not explicitly earmarked; WASH-related co-benefits inferred (approx. &lt;10% of total budget focus)</t>
  </si>
  <si>
    <t>✔ Gender mainstreaming integrated: ≥50% of 3,000 direct beneficiaries targeted as women; gender-responsive planning frameworks, gender-sensitive indicators, women’s livelihood support &amp; enterprise promotion; attention to indigenous women (Garo &amp; Hajong)</t>
  </si>
  <si>
    <t>Indirect WASH benefits. Project targets 10–15% water quality improvement at monitoring stations by reducing industrial effluents, agrochemical runoff, and waste loads. 
Focus on wetland restoration, riparian vegetation, sustainable fisheries/agriculture → supports safe water and ecosystem services.</t>
  </si>
  <si>
    <t>✔ Gender Action Plan prepared; aims for ≥30% women in Village Conservation Groups (VCGs). 
✔ Women engaged in alternative livelihoods (fisheries, agriculture, ecotourism). 
✔ Addresses inequitable access to wetland resources; disaggregated data tracked</t>
  </si>
  <si>
    <t>DoE</t>
  </si>
  <si>
    <t>✔ Gender mentioned in socio-economic baseline and PRA design; women included in Village Conservation Groups (VCGs) and community consultations; but no systematic gender-disaggregated WASH data.</t>
  </si>
  <si>
    <t>This initiative builds climate resilience in chars and offshore islands through cyclone-resilient housing, rainwater harvesting, embankment strengthening, and nano-grid electrification. It includes WASH elements such as safe drinking water and home-garden irrigation systems.g</t>
  </si>
  <si>
    <t>This innovation-focused project provides safe drinking water via solar-powered RO systems to households affected by salinity and cyclonic intrusion. It is the most WASH-specific project among AF-financed initiatives in Bangladesh, with over 80% of funds targeting climate-resilient water access.</t>
  </si>
  <si>
    <t>BMWSSP</t>
  </si>
  <si>
    <t>Dhaka Sanitation Improvement (DSIP)</t>
  </si>
  <si>
    <t>Inclusive Sanitation (IsDB)</t>
  </si>
  <si>
    <t>SanMarkS (UNICEF)</t>
  </si>
  <si>
    <t>Urban WSS in 23 Pourashavas (IsDB)</t>
  </si>
  <si>
    <t>ICAR –in Cox’s Bazar</t>
  </si>
  <si>
    <t>Saidabad WTP III</t>
  </si>
  <si>
    <t>DESWSP (Dhaka)</t>
  </si>
  <si>
    <t>Rajshahi SWTP</t>
  </si>
  <si>
    <t>Bhandal Jhuri WSP – Chattogram</t>
  </si>
  <si>
    <t>DPHE Capacity (JICA TA)</t>
  </si>
  <si>
    <t>CHT Resilient WSS (ADB)</t>
  </si>
  <si>
    <t>Nobo Jatra (USAID)</t>
  </si>
  <si>
    <t>CRLIWM – CHT (ADB)</t>
  </si>
  <si>
    <t>Dignifying Lives (EU)</t>
  </si>
  <si>
    <t>SCAN – (EU)</t>
  </si>
  <si>
    <t>CTEIP – Coastal Towns (ADB)</t>
  </si>
  <si>
    <t>City Inclusive Sanitation (AIIB/GoB)</t>
  </si>
  <si>
    <t>SanMarkS Phase-2</t>
  </si>
  <si>
    <t>WB (IDA)/AIIB</t>
  </si>
  <si>
    <t>IsDB</t>
  </si>
  <si>
    <t>UNICEF</t>
  </si>
  <si>
    <t>Denmark</t>
  </si>
  <si>
    <t>JICA</t>
  </si>
  <si>
    <t>ADB</t>
  </si>
  <si>
    <t>USAID</t>
  </si>
  <si>
    <t>EU/EC</t>
  </si>
  <si>
    <t>AIIB</t>
  </si>
  <si>
    <t>DPHE</t>
  </si>
  <si>
    <t>Dhaka WASA</t>
  </si>
  <si>
    <t>LGED/DPHE</t>
  </si>
  <si>
    <t>HYSAWA</t>
  </si>
  <si>
    <t>RWASA</t>
  </si>
  <si>
    <t>CWASA</t>
  </si>
  <si>
    <t>DPHE, LGED</t>
  </si>
  <si>
    <t>–</t>
  </si>
  <si>
    <t>MLGRDC</t>
  </si>
  <si>
    <t>BCISP</t>
  </si>
  <si>
    <t>LGED</t>
  </si>
  <si>
    <t>TA (Grant)</t>
  </si>
  <si>
    <t>6.7 (CHF 6 M)</t>
  </si>
  <si>
    <t>550.5 (WB+AIIB loans; GoB)</t>
  </si>
  <si>
    <t>397 (WB IDA + GoB)</t>
  </si>
  <si>
    <t>209.5 (WB+AIIB loans; GoB)</t>
  </si>
  <si>
    <t>483 (WB+AIIB loans; GoB)</t>
  </si>
  <si>
    <t>56 (loan + grant)</t>
  </si>
  <si>
    <t>2.5 (grant)</t>
  </si>
  <si>
    <t>89.3 (loan)</t>
  </si>
  <si>
    <t>7.3 (grant, Denmark)</t>
  </si>
  <si>
    <t>360 (AFD, EIB, DANIDA loans)</t>
  </si>
  <si>
    <t>450 (ADB/AFD/EIB)</t>
  </si>
  <si>
    <t>276.25 (China Exim loan)</t>
  </si>
  <si>
    <t>144 (EDCF/KEXIM)</t>
  </si>
  <si>
    <t>N/A (TA grant)</t>
  </si>
  <si>
    <t>109.3 (ADB loan + GoB)</t>
  </si>
  <si>
    <t>73 (grant)</t>
  </si>
  <si>
    <t>150 (ADB loan + GoB)</t>
  </si>
  <si>
    <t>1.36 (EU grant)</t>
  </si>
  <si>
    <t>1.56 (EU grant)</t>
  </si>
  <si>
    <t>103.5 (ADB loan + GoB)</t>
  </si>
  <si>
    <t>250 (AIIB + GoB)</t>
  </si>
  <si>
    <t>6.7 (SDC + UNICEF)</t>
  </si>
  <si>
    <t>2020–27</t>
  </si>
  <si>
    <t>2022–27</t>
  </si>
  <si>
    <t>2024–25</t>
  </si>
  <si>
    <t>2023–28</t>
  </si>
  <si>
    <t>2018–21</t>
  </si>
  <si>
    <t>2012–23</t>
  </si>
  <si>
    <t>2024-2030</t>
  </si>
  <si>
    <t>2019-2025</t>
  </si>
  <si>
    <t>30 rural districts across BD.</t>
  </si>
  <si>
    <t>Chattogram Metropolitan Area</t>
  </si>
  <si>
    <t>Urban poor areas across 10 cities</t>
  </si>
  <si>
    <t>Nationwide</t>
  </si>
  <si>
    <t>23 Pourashavas</t>
  </si>
  <si>
    <t>Dhaka (Saidabad)</t>
  </si>
  <si>
    <t>Dhaka (Meghna Intake)</t>
  </si>
  <si>
    <t>Bandarban, Lama, and Rangamati</t>
  </si>
  <si>
    <t>Bandarban, Khagrachari, Rangamati</t>
  </si>
  <si>
    <t>Barguna, Bagerhat &amp; Faridpur Municipality, Gazipur CC</t>
  </si>
  <si>
    <t xml:space="preserve">10 slums in DNCC and DSCC </t>
  </si>
  <si>
    <t>Improve hygiene behavior, construct WASH facilities in schools and public places, and provide sanitation microfinance</t>
  </si>
  <si>
    <t>Pre-investment activities; detailed design and feasibility for sanitation improvement</t>
  </si>
  <si>
    <t>Infrastructure development: piped water systems, FSM, capacity building of Pourashavas</t>
  </si>
  <si>
    <t>Improve sewerage systems, build WWTPs, increase safe sanitation access</t>
  </si>
  <si>
    <t>Expand sanitation services, targeting vulnerable groups and low-income communities</t>
  </si>
  <si>
    <t>Sanitation market development, behavior change campaigns, private sector engagement</t>
  </si>
  <si>
    <t>Water supply lines, small-scale STPs, community sanitation facilities</t>
  </si>
  <si>
    <t>Build climate-resilient WASH infrastructure for host and displaced communities</t>
  </si>
  <si>
    <t>Includes a new water intake, treatment plant, sludge facilities, and extended distribution networks</t>
  </si>
  <si>
    <t>Enhance climate-resilient livelihoods and basic services for rural communities in CHT</t>
  </si>
  <si>
    <t>Enhance waste management in slums, strengthening municipalities, recycling enterprises, and civil society to improve labor rights, wages, and social inclusion for informal waste workers.</t>
  </si>
  <si>
    <t>Increase access to inclusive urban sanitation services; provide septic tank maintenance, communal facilities, strengthen institutions and capacity; develop sustainable operational models; and build community awareness.</t>
  </si>
  <si>
    <t>65-70% (High)</t>
  </si>
  <si>
    <t>25-30% (Moderate)</t>
  </si>
  <si>
    <t>30-38% (Moderate)</t>
  </si>
  <si>
    <t>45-50% (Moderate–High)</t>
  </si>
  <si>
    <t>45-60% (Moderate–High)</t>
  </si>
  <si>
    <t>50-60% (Moderate–High)</t>
  </si>
  <si>
    <t>45-55% (Moderate–High)</t>
  </si>
  <si>
    <t>60-65% (High)</t>
  </si>
  <si>
    <t>50-60% (Moderate–High))</t>
  </si>
  <si>
    <t>55-60% (Moderate–High)</t>
  </si>
  <si>
    <t>40-45% (Moderate–High)</t>
  </si>
  <si>
    <t>59-60% (High)</t>
  </si>
  <si>
    <t>30-35% (Moderate)</t>
  </si>
  <si>
    <t>25-35% (Low–Moderate)</t>
  </si>
  <si>
    <t>Poor rural HHs, schools, clinics → Strong</t>
  </si>
  <si>
    <t>General Urban metro Population → Weak</t>
  </si>
  <si>
    <t>Secondary towns; limited LICs → Moderate</t>
  </si>
  <si>
    <t>LICs (~50k) but small relative to scale → Weak</t>
  </si>
  <si>
    <t>Urban poor, women, slums → Moderate</t>
  </si>
  <si>
    <t>Poor HHs; SMEs; gender lens → Strong</t>
  </si>
  <si>
    <t>Secondary towns; LICs unevenly covered → Moderate</t>
  </si>
  <si>
    <t>Refugees, hosts, women, disability groups → Strong</t>
  </si>
  <si>
    <t>Urban metro only → Weak</t>
  </si>
  <si>
    <t>Urban metro (northern Dhaka), LICs weakly targeted → Weak</t>
  </si>
  <si>
    <t>South Chattogram HHs &amp; industries equity unclear → Weak</t>
  </si>
  <si>
    <t>Nationwide, Indirect; rural/Pourashava service users → Moderate</t>
  </si>
  <si>
    <t>Tribal HHs, women, poor → Strong</t>
  </si>
  <si>
    <t>Coastal poor; strong gender lens → Strong</t>
  </si>
  <si>
    <t>Tribal/hilly, Indigenous, women, poor farmers → Strong</t>
  </si>
  <si>
    <t>Informal workers- 4 municipalities → Strong</t>
  </si>
  <si>
    <t>Urban poor-zdhaka slums → Strong</t>
  </si>
  <si>
    <t>Coastal urban poor-8 coatal towns → Moderate</t>
  </si>
  <si>
    <t>Urban poor, slum residents, women &amp; youth → Moderate</t>
  </si>
  <si>
    <t>Poor &amp; disadvantaged HHs (60% poor, 40% disadvantaged); strong gender lens → Strong</t>
  </si>
  <si>
    <t>Dhaka slum dwellers, women, youth</t>
  </si>
  <si>
    <t>Low-income city dwellers, vulnerable settlements</t>
  </si>
  <si>
    <t>Poor-coverage, some climate-prone districts</t>
  </si>
  <si>
    <t>Coastal, riverine, flood-prone towns</t>
  </si>
  <si>
    <t>Dhaka – groundwater depletion hotspot</t>
  </si>
  <si>
    <t>Barind &amp; drought-prone hotspot</t>
  </si>
  <si>
    <t>Cyclone-prone coastal zone</t>
  </si>
  <si>
    <t>Dhaka informal settlements</t>
  </si>
  <si>
    <t>SDG 6.1, 6.3; Delta Plan 2100</t>
  </si>
  <si>
    <t>SDG 6.1, 6.2, 6.3; Delta Plan</t>
  </si>
  <si>
    <t>SDG 6.2, 6.b; Delta Plan 2100</t>
  </si>
  <si>
    <t>SDG 6.2, 6.3; Delta Plan</t>
  </si>
  <si>
    <t>SDG 6.2, 6.b; NAP potential</t>
  </si>
  <si>
    <t>SDG 6.1, 6.2, 6.b; NAP coastal zone</t>
  </si>
  <si>
    <t>SDG 6.1; Delta Plan</t>
  </si>
  <si>
    <t>SDG 6.1, 6.3; Delta Plan; NAP water security</t>
  </si>
  <si>
    <t>SDG 6.1; Delta Plan; NAP</t>
  </si>
  <si>
    <t>SDG 6.1; Delta Plan coastal services</t>
  </si>
  <si>
    <t>SDG 6.1, 6.b; NAP capacity</t>
  </si>
  <si>
    <t>SDG 6.1, 6.2, 6.b; NAP</t>
  </si>
  <si>
    <t>SDG 6.1, 6.2, 2; NAP</t>
  </si>
  <si>
    <t>SDG 6.1, 6.2, 13, 15; NAP</t>
  </si>
  <si>
    <t>SDG 6.2, 8, 10; NAP urban resilience</t>
  </si>
  <si>
    <t>SDG 6.2, 6.b; NAP urban</t>
  </si>
  <si>
    <t>SDG 6.1, 6.2, 6.3; Delta Plan; NAP</t>
  </si>
  <si>
    <t>SDG 6.2, 11.1, 11.5; NAP urban adaptation measures; CFF sanitation</t>
  </si>
  <si>
    <t>SDG 6.2, 6.b; NAP sanitation strategy; CFF community-based sanitation</t>
  </si>
  <si>
    <t>Partial</t>
  </si>
  <si>
    <r>
      <t>Rajshahi, Naogaon, Chapainawabganj (Barind); Sunamganj, Habiganj, Moulvibazar, Sylhet (Haor)</t>
    </r>
    <r>
      <rPr>
        <sz val="10"/>
        <color theme="1"/>
        <rFont val="Arial"/>
        <family val="2"/>
      </rPr>
      <t>.</t>
    </r>
  </si>
  <si>
    <t>Builds climate resilience in drought-prone Barind region through managed aquifer recharge (MAR), pond re-excavation, rooftop rainwater systems, and livelihood diversification. Implements community adaptation groups (CCAGs) and a dedicated MAR Center to institutionalize local climate planning.</t>
  </si>
  <si>
    <t>Strengthens adaptive capacity in coastal districts through climate-resilient housing, raised plinths, and women-led livelihood initiatives. Promotes gender-responsive planning and financial inclusion but lacks explicit WASH focus.</t>
  </si>
  <si>
    <t>Enhances resilience of flood-prone communities via elevated tube wells, flood-resilient latrines, and climate-proof housing. Implements community-based adaptation through CCAGs and Union Parishad oversight.</t>
  </si>
  <si>
    <t>Scales access to clean, efficient cookstoves and alternative fuels, reducing indoor air pollution and health risks. Focuses on behavioral change and women’s time-use efficiency.</t>
  </si>
  <si>
    <t>Improves access to safe water in saline-prone coastal zones via household and community rainwater harvesting systems. Empowers women as “agents of change” through leadership in water user groups and livelihood activities.</t>
  </si>
  <si>
    <t>Integrates climate-proofing into local infrastructure planning via LGED. Constructs cyclone shelters, drainage, and resilient roads with gender-sensitive features.</t>
  </si>
  <si>
    <t>Strong climate and gender integration. Exemplary local adaptation model aligning with NAP priorities on water security and resilience.</t>
  </si>
  <si>
    <t>Highly gender-transformative and pro-poor, but climate integration largely indirect. Missed opportunity to integrate sanitation or safe water services.</t>
  </si>
  <si>
    <t>Strong mitigation co-benefits and gender inclusion in the formal sector; weak equity and no WASH or adaptation component.</t>
  </si>
  <si>
    <t>A benchmark for locally led adaptation and WASH–gender synergy. Demonstrates direct benefits for poor, flood-exposed households.</t>
  </si>
  <si>
    <t>Strong gender and health outcomes, but climate and equity framing remains generic. Minimal adaptation or WASH integration.</t>
  </si>
  <si>
    <t>Model example of gender-responsive, WASH-focused climate adaptation. Strong NAP and SDG alignment with measurable equity impacts.</t>
  </si>
  <si>
    <t>High structural climate relevance, but limited participatory equity. Strong on infrastructure resilience; weak on inclusion and community ownership.</t>
  </si>
  <si>
    <t>(FP205)</t>
  </si>
  <si>
    <t>(FP151)</t>
  </si>
  <si>
    <t>(SAP008)</t>
  </si>
  <si>
    <t>(FP069)</t>
  </si>
  <si>
    <t>(FP087)</t>
  </si>
  <si>
    <t>(FP004)</t>
  </si>
  <si>
    <t>Strong focus on disaster resilience and inclusive WASH access</t>
  </si>
  <si>
    <t>Flagship innovation in coastal WASH resilience</t>
  </si>
  <si>
    <t>2020–ongoing</t>
  </si>
  <si>
    <t>Tanguar Haor, Sunamganj</t>
  </si>
  <si>
    <t>Floodplain wetland, biodiversity loss</t>
  </si>
  <si>
    <t>Wetland users, fishers, indigenous groups</t>
  </si>
  <si>
    <t>SDG 6, 14, 15; NBSAP alignment</t>
  </si>
  <si>
    <t>Focus on water quality, ecosystem resilience; limited sanitation focus</t>
  </si>
  <si>
    <t>Implementing Ecosystem-based Management in Ecologically Critical Areas (Halda River &amp; Morjat Baor)</t>
  </si>
  <si>
    <t xml:space="preserve">UNDP </t>
  </si>
  <si>
    <t>MoEFCC / DoE</t>
  </si>
  <si>
    <t>2021–ongoing</t>
  </si>
  <si>
    <t>Halda River, Morjat Baor ECAs</t>
  </si>
  <si>
    <t>River pollution, agrochemical runoff</t>
  </si>
  <si>
    <t>Fisherfolk, local farmers</t>
  </si>
  <si>
    <t>SDG 6 &amp; 15; ECA Rules 2016; NAP alignment</t>
  </si>
  <si>
    <t>Focused on water quality &amp; governance, not hygiene/FSM</t>
  </si>
  <si>
    <t>Drought, flood, groundwater depletion</t>
  </si>
  <si>
    <t>Rural communities, women, youth</t>
  </si>
  <si>
    <t>NAP/BCCSAP – drought &amp; water management</t>
  </si>
  <si>
    <t>Completed – highly satisfactory</t>
  </si>
  <si>
    <t>Delivered strong EbA–WASH co-benefits; sanitation/FSM not addressed</t>
  </si>
  <si>
    <t>2005–2010</t>
  </si>
  <si>
    <t>Cox’s Bazar, Sylhet, Sunamganj</t>
  </si>
  <si>
    <t>Wetland degradation, pollution</t>
  </si>
  <si>
    <t>Wetland communities</t>
  </si>
  <si>
    <t>SDG 6, 15; BCCSAP Goal 4</t>
  </si>
  <si>
    <t>Closed – moderately satisfactory</t>
  </si>
  <si>
    <t>GEF Secretariat</t>
  </si>
  <si>
    <t>Bangladesh</t>
  </si>
  <si>
    <t>National biodiversity mainstreaming EA</t>
  </si>
  <si>
    <t>CBD &amp; SDG 15 alignment</t>
  </si>
  <si>
    <t>Weak</t>
  </si>
  <si>
    <t>Not specified</t>
  </si>
  <si>
    <t>Policy institutions</t>
  </si>
  <si>
    <t>Not applicable</t>
  </si>
  <si>
    <t>Institutional</t>
  </si>
  <si>
    <t>2010–2015</t>
  </si>
  <si>
    <t>Coastal Bangladesh (Khulna, Satkhira)</t>
  </si>
  <si>
    <t>Cyclone, salinity, coastal flooding</t>
  </si>
  <si>
    <t>Indirect WASH co-benefits (stormwater, drainage)</t>
  </si>
  <si>
    <t>Coastal poor, women</t>
  </si>
  <si>
    <t>Gender mainstreamed in community forestry &amp; training</t>
  </si>
  <si>
    <t>SDG 13, 15; NAPA Goal 2</t>
  </si>
  <si>
    <t>Completed – good</t>
  </si>
  <si>
    <t>Strengthened coastal resilience; limited WASH integration</t>
  </si>
  <si>
    <t>Multi-hazard vulnerability</t>
  </si>
  <si>
    <t>No direct WASH</t>
  </si>
  <si>
    <t>National &amp; local planners</t>
  </si>
  <si>
    <t>Gender-inclusive policies</t>
  </si>
  <si>
    <t>SDG 13; NAP implementation</t>
  </si>
  <si>
    <t>Active</t>
  </si>
  <si>
    <t>Integrates adaptation into planning; limited WASH outcomes</t>
  </si>
  <si>
    <t>2015–2021</t>
  </si>
  <si>
    <t>Coastal &amp; Inland fisheries zones</t>
  </si>
  <si>
    <t>Salinity, livelihood loss, water pollution</t>
  </si>
  <si>
    <t>Indirect – water resource management (&lt;10%)</t>
  </si>
  <si>
    <t>Fishing communities &amp; aquaculture workers</t>
  </si>
  <si>
    <t>Gender inclusion in training &amp; co-ops</t>
  </si>
  <si>
    <t>SDG 2, 13, 14 / NAP alignment</t>
  </si>
  <si>
    <t>Completed – Satisfactory</t>
  </si>
  <si>
    <t>Strengthened resilient livelihoods; limited WASH relevance</t>
  </si>
  <si>
    <t>2020–Ongoing</t>
  </si>
  <si>
    <t>Major urban centres (Dhaka, Chattogram)</t>
  </si>
  <si>
    <t>Urban emissions, heat stress</t>
  </si>
  <si>
    <t>Urban municipalities &amp; residents</t>
  </si>
  <si>
    <t>Gender policy integration in urban planning</t>
  </si>
  <si>
    <t>SDG 11 &amp; 13 / mitigation focus</t>
  </si>
  <si>
    <t>Focus on energy efficiency &amp; urban planning; no WASH scope</t>
  </si>
  <si>
    <t>2013–2019</t>
  </si>
  <si>
    <t>Energy insecurity / urban air pollution</t>
  </si>
  <si>
    <t>Energy users, urban residents</t>
  </si>
  <si>
    <t>Gender neutral design</t>
  </si>
  <si>
    <t>SDG 7 &amp; 13 / low carbon pathway</t>
  </si>
  <si>
    <t>Completed</t>
  </si>
  <si>
    <t>Improved renewable energy capacity; no WASH link</t>
  </si>
  <si>
    <t>2017–2022</t>
  </si>
  <si>
    <t>Chemical pollution, agriculture runoff</t>
  </si>
  <si>
    <t>Indirect – reduces water contamination</t>
  </si>
  <si>
    <t>Farmers &amp; rural communities</t>
  </si>
  <si>
    <t>Gender training modules for safe handling</t>
  </si>
  <si>
    <t>SDG 2, 6, 12 / Stockholm Convention</t>
  </si>
  <si>
    <t>Reduced toxic pollution; water quality benefits</t>
  </si>
  <si>
    <t>1999–2005</t>
  </si>
  <si>
    <t>Sundarbans Reserved Forest (Khulna, Satkhira, Bagerhat)</t>
  </si>
  <si>
    <t>Coastal mangrove degradation, cyclone, salinity</t>
  </si>
  <si>
    <t>Indirect – supports water regulation and mangrove protection</t>
  </si>
  <si>
    <t>Coastal forest-dependent households, fishers</t>
  </si>
  <si>
    <t>Women involved in co-management groups and alternative livelihoods</t>
  </si>
  <si>
    <t>SDG 13, 14, 15; NBSAP</t>
  </si>
  <si>
    <t>Strengthened protection and co-management of the Sundarbans; reduced illegal logging and improved mangrove water systems</t>
  </si>
  <si>
    <t>2000–2006</t>
  </si>
  <si>
    <t>National freshwater and coastal ecosystems</t>
  </si>
  <si>
    <t>Riverine habitat loss, water pollution</t>
  </si>
  <si>
    <t>Indirect – improved water quality and aquatic habitat (~10%)</t>
  </si>
  <si>
    <t>Fishers, wetland communities</t>
  </si>
  <si>
    <t>Gender considered in community consultations</t>
  </si>
  <si>
    <t>SDG 6, 14, NBSAP</t>
  </si>
  <si>
    <t>Completed – Moderately satisfactory</t>
  </si>
  <si>
    <t>Protected key aquatic habitats, developed biodiversity monitoring; WASH link via cleaner water ecosystems</t>
  </si>
  <si>
    <t>UNDP; MoEFCC</t>
  </si>
  <si>
    <t>2002–2005</t>
  </si>
  <si>
    <t>National</t>
  </si>
  <si>
    <t>Institutional (climate governance)</t>
  </si>
  <si>
    <t>Policy and institutional stakeholders</t>
  </si>
  <si>
    <t>UNFCCC; SDG 13</t>
  </si>
  <si>
    <t>Supported preparation of Bangladesh’s first National Communication to the UNFCCC; improved national climate reporting capacity</t>
  </si>
  <si>
    <t>2001–2004</t>
  </si>
  <si>
    <t>Institutional / biodiversity planning</t>
  </si>
  <si>
    <t>National institutions and planners</t>
  </si>
  <si>
    <t>CBD; SDG 15</t>
  </si>
  <si>
    <t>Developed Bangladesh’s first National Biodiversity Strategy and Action Plan (NBSAP) and set national biodiversity targets</t>
  </si>
  <si>
    <t>2002–2012</t>
  </si>
  <si>
    <t>Nationwide (rural areas)</t>
  </si>
  <si>
    <t>Energy poverty, low electricity access</t>
  </si>
  <si>
    <t>Indirect – supports clean energy for rural households (health and water access co-benefits)</t>
  </si>
  <si>
    <t>Rural households, small enterprises</t>
  </si>
  <si>
    <t>Gender not explicitly addressed in early design; later included in IDCOL social safeguards</t>
  </si>
  <si>
    <t>SDG 7, 13; renewable energy strategy</t>
  </si>
  <si>
    <t>Completed – Highly satisfactory</t>
  </si>
  <si>
    <t>Expanded solar home systems and rural electrification to 1.5 million homes; improved health and livelihoods</t>
  </si>
  <si>
    <t>2003–2006</t>
  </si>
  <si>
    <t>Chemical pollution, hazardous waste</t>
  </si>
  <si>
    <t>Indirect – reduces POPs and persistent toxins from entering water systems</t>
  </si>
  <si>
    <t>Industrial and agricultural sectors, regulatory bodies</t>
  </si>
  <si>
    <t>Gender neutral institutional project</t>
  </si>
  <si>
    <t>Stockholm Convention; SDG 12</t>
  </si>
  <si>
    <t>Enabled Bangladesh to prepare its first National Implementation Plan (NIP) on Persistent Organic Pollutants under the Stockholm Convention</t>
  </si>
  <si>
    <t>Nationwide (urban and peri-urban areas)</t>
  </si>
  <si>
    <t>Air pollution, industrial emissions</t>
  </si>
  <si>
    <t>Indirect – reduced particulate and CO₂ emissions, improved air quality and water health</t>
  </si>
  <si>
    <t>Brick kiln owners, workers, nearby residents</t>
  </si>
  <si>
    <t>Gender-neutral industrial project</t>
  </si>
  <si>
    <t>SDG 9, 11, 13</t>
  </si>
  <si>
    <t>Demonstrated improved energy-efficient brick kiln technology; reduced emissions and pollution impacts on communities</t>
  </si>
  <si>
    <t>2004–2005</t>
  </si>
  <si>
    <t>Institutional – climate planning and vulnerability assessment</t>
  </si>
  <si>
    <t>National policymakers and vulnerable communities indirectly</t>
  </si>
  <si>
    <t>Gender and poverty considerations included in NAPA prioritization</t>
  </si>
  <si>
    <t>UNFCCC; SDG 13; BCCSAP precursor</t>
  </si>
  <si>
    <t>Developed Bangladesh’s first National Adaptation Programme of Action (NAPA), prioritizing climate adaptation needs</t>
  </si>
  <si>
    <t>2006–2008</t>
  </si>
  <si>
    <t>Institutional capacity gaps</t>
  </si>
  <si>
    <t>Government institutions</t>
  </si>
  <si>
    <t>Gender not addressed (institutional focus)</t>
  </si>
  <si>
    <t>Rio Conventions; SDG 16</t>
  </si>
  <si>
    <t>Strengthened institutional capacity for implementing global environmental conventions (CBD, UNFCCC, UNCCD)</t>
  </si>
  <si>
    <t>2006–2009</t>
  </si>
  <si>
    <t>National (drylands, degraded lands)</t>
  </si>
  <si>
    <t>Land degradation, soil erosion, drought</t>
  </si>
  <si>
    <t>Indirect – improved watershed management and soil moisture retention</t>
  </si>
  <si>
    <t>Farmers, local government institutions</t>
  </si>
  <si>
    <t>Gender included through participatory training and awareness</t>
  </si>
  <si>
    <t>2008–2012</t>
  </si>
  <si>
    <t>Institutional – biosafety, GMOs, environmental risk</t>
  </si>
  <si>
    <t>Scientific institutions, regulatory agencies</t>
  </si>
  <si>
    <t>Gender neutral (technical/institutional focus)</t>
  </si>
  <si>
    <t>Cartagena Protocol; SDG 15</t>
  </si>
  <si>
    <t>Strengthened biosafety regulatory systems; trained national scientists and officials in safe handling of GMOs</t>
  </si>
  <si>
    <t>SDG 13, 15; UNCCD, NAP</t>
  </si>
  <si>
    <t>Built institutional and technical capacity for sustainable land management in dry and semi-arid regions of Bangladesh</t>
  </si>
  <si>
    <t>2011–2016</t>
  </si>
  <si>
    <t>Coastal and hilly regions</t>
  </si>
  <si>
    <t>Deforestation, salinity, coastal flooding</t>
  </si>
  <si>
    <t>Indirect – soil and water conservation, reforestation (~10%)</t>
  </si>
  <si>
    <t>Forest-dependent and coastal communities</t>
  </si>
  <si>
    <t>Women and youth engaged in nursery and reforestation work</t>
  </si>
  <si>
    <t>SDG 13, 15; NAPA / BCCSAP</t>
  </si>
  <si>
    <t>Integrated climate adaptation with afforestation; strengthened resilience in coastal and hill areas</t>
  </si>
  <si>
    <t>2012–2018</t>
  </si>
  <si>
    <t>Chemical pollution, PCB disposal</t>
  </si>
  <si>
    <t>Indirect – reduced contamination in water bodies</t>
  </si>
  <si>
    <t>Power sector, industrial workers, nearby communities</t>
  </si>
  <si>
    <t>Gender neutral (technical focus)</t>
  </si>
  <si>
    <t>Developed PCB inventory and disposal systems; reduced industrial chemical risks</t>
  </si>
  <si>
    <t>2013–2020</t>
  </si>
  <si>
    <t>Greater Dhaka</t>
  </si>
  <si>
    <t>Urban air pollution, congestion</t>
  </si>
  <si>
    <t>Indirect – improved air quality and reduced runoff pollution</t>
  </si>
  <si>
    <t>Urban commuters, low-income travelers</t>
  </si>
  <si>
    <t>Gender and social inclusion plan implemented (30% female participation)</t>
  </si>
  <si>
    <t>SDG 11, 13</t>
  </si>
  <si>
    <t>Completed – Good</t>
  </si>
  <si>
    <t>Developed sustainable transport corridor and bus rapid transit (BRT); improved mobility and air quality</t>
  </si>
  <si>
    <t>2012–2014</t>
  </si>
  <si>
    <t>Institutional – land degradation</t>
  </si>
  <si>
    <t>Policymakers, land management agencies</t>
  </si>
  <si>
    <t>Gender not explicitly addressed</t>
  </si>
  <si>
    <t>UNCCD; SDG 15</t>
  </si>
  <si>
    <t>Revised Bangladesh’s NAP for sustainable land management; aligned with UNCCD 10-year plan</t>
  </si>
  <si>
    <t>2014–2018</t>
  </si>
  <si>
    <t>Institutional – climate change reporting</t>
  </si>
  <si>
    <t>Policymakers, scientific institutions</t>
  </si>
  <si>
    <t>Gender-sensitive data referenced</t>
  </si>
  <si>
    <t>Prepared Bangladesh’s Third National Communication; updated GHG inventory and adaptation strategies</t>
  </si>
  <si>
    <t>2013–2015</t>
  </si>
  <si>
    <t>Institutional – governance and coordination</t>
  </si>
  <si>
    <t>Ministries and environment agencies</t>
  </si>
  <si>
    <t>Gender neutral (institutional project)</t>
  </si>
  <si>
    <t>SDG 13, 15; Rio Conventions</t>
  </si>
  <si>
    <t>Enhanced coordination and reporting capacity for CBD, UNFCCC, UNCCD</t>
  </si>
  <si>
    <t>Policymakers, researchers, national agencies</t>
  </si>
  <si>
    <t>Gender-sensitive data and reporting integrated</t>
  </si>
  <si>
    <t>Supported preparation of Bangladesh’s Third National Communication, including GHG inventory, mitigation, and adaptation assessment</t>
  </si>
  <si>
    <t>2015–2017</t>
  </si>
  <si>
    <t>National (dry and degraded lands)</t>
  </si>
  <si>
    <t>Land degradation, unsustainable land use</t>
  </si>
  <si>
    <t>Indirect – improved watershed and soil moisture management</t>
  </si>
  <si>
    <t>Land management agencies, local farmers</t>
  </si>
  <si>
    <t>Gender inclusion in training and land planning workshops</t>
  </si>
  <si>
    <t>SDG 13, 15; UNCCD</t>
  </si>
  <si>
    <t>Developed national land degradation profile and tools to integrate sustainable land management into planning and policy frameworks</t>
  </si>
  <si>
    <t>2017–2019</t>
  </si>
  <si>
    <t>Institutional – GHG inventory and reporting</t>
  </si>
  <si>
    <t>National climate agencies, policymakers</t>
  </si>
  <si>
    <t>Gender-sensitive indicators integrated into BUR reporting</t>
  </si>
  <si>
    <t>Prepared and submitted Bangladesh’s First Biennial Update Report (BUR1) under the UNFCCC, strengthening national MRV and reporting systems</t>
  </si>
  <si>
    <t>2019–2022</t>
  </si>
  <si>
    <t>Institutional – emission monitoring</t>
  </si>
  <si>
    <t>Government agencies, research institutions</t>
  </si>
  <si>
    <t>Gender-neutral technical capacity building</t>
  </si>
  <si>
    <t>Paris Agreement; SDG 13</t>
  </si>
  <si>
    <t>Developed national emission monitoring and reporting systems consistent with Paris Agreement transparency framework</t>
  </si>
  <si>
    <t>2021–Ongoing</t>
  </si>
  <si>
    <t>Climate-vulnerable rural landscapes (northwest, coastal zones)</t>
  </si>
  <si>
    <t>Drought, salinity, flooding</t>
  </si>
  <si>
    <t>Direct – community water harvesting, flood management (~15%)</t>
  </si>
  <si>
    <t>Vulnerable farmers, women, rural poor</t>
  </si>
  <si>
    <t>Gender integrated in project design; women-led adaptation groups</t>
  </si>
  <si>
    <t>SDG 2, 13, 15; NAP/BCCSAP</t>
  </si>
  <si>
    <t>Ongoing – Highly relevant</t>
  </si>
  <si>
    <t>Promotes climate-resilient livelihoods and adaptive water management in drought and saline-prone regions</t>
  </si>
  <si>
    <t>2023–Ongoing</t>
  </si>
  <si>
    <t>Urban and peri-urban Bangladesh (Dhaka, Chattogram)</t>
  </si>
  <si>
    <t>Air pollution, transport emissions</t>
  </si>
  <si>
    <t>Indirect – reduces transport-related pollution impacting water/air</t>
  </si>
  <si>
    <t>Urban commuters, transport operators</t>
  </si>
  <si>
    <t>Gender in awareness campaigns; focus on female ridership safety</t>
  </si>
  <si>
    <t>SDG 7, 11, 13</t>
  </si>
  <si>
    <t>Ongoing – Active</t>
  </si>
  <si>
    <t>Supports policy, charging infrastructure, and market readiness for electric vehicle adoption in Bangladesh</t>
  </si>
  <si>
    <t>Strengthened local co-management of wetlands; legal ECA designation under 1995 Act; improved water ecosystems and community resilience, but DOE capacity and WASH data gaps remain</t>
  </si>
  <si>
    <t>DP/Funding Source</t>
  </si>
  <si>
    <t>Ministry of Road Transport and Bridges – Road Transport and Highways Division (RTHD)</t>
  </si>
  <si>
    <t>UNDP;</t>
  </si>
  <si>
    <t>GEF Trust Fund</t>
  </si>
  <si>
    <t>Food and Agriculture Organization</t>
  </si>
  <si>
    <t>Department of Environment (DoE) and Department of Agricultural Extension (DAE)</t>
  </si>
  <si>
    <t>Least Developed Countries Fund</t>
  </si>
  <si>
    <t>Department of Environment (DoE) under
Ministry of Environment and Forest</t>
  </si>
  <si>
    <t>CBIT Trust Fund</t>
  </si>
  <si>
    <t xml:space="preserve">UNDP; </t>
  </si>
  <si>
    <t>Ministry of Environment and Forests/Department of Environment</t>
  </si>
  <si>
    <t>Sustainable and Renewable Energy Development Authority (SREDA) and Department of Environment, Ministry of Environment, Forests and Climate Change (MoEFCC)</t>
  </si>
  <si>
    <t>Indirect / Inferred – Project includes community-based wetland management, water quality monitoring, protection of aquatic ecosystems, and alternative livelihoods (fisheries, agriculture). No direct WASH delivery (water supply/sanitation), but strong link to water resource sustainability.N/A (budget not explicitly tagged to WASH)</t>
  </si>
  <si>
    <t xml:space="preserve">FAO; </t>
  </si>
  <si>
    <t>DoA / MoA</t>
  </si>
  <si>
    <t>Ministry of Environment and Forests</t>
  </si>
  <si>
    <t>DoF / MoFL</t>
  </si>
  <si>
    <t xml:space="preserve">UNEP </t>
  </si>
  <si>
    <t>Department of Environment / MoEFCC</t>
  </si>
  <si>
    <t xml:space="preserve">ADB; </t>
  </si>
  <si>
    <t>Ministry of Road Transport and Bridges</t>
  </si>
  <si>
    <t>Power Division / DOE / BPDB</t>
  </si>
  <si>
    <t>MoEFCC / DOE</t>
  </si>
  <si>
    <t>United Nations Industrial Development Organization</t>
  </si>
  <si>
    <t>Bangladesh Forest Department / MoEFCC</t>
  </si>
  <si>
    <t>/ SREDA / MoPEMR</t>
  </si>
  <si>
    <t xml:space="preserve">; MoEFCC / </t>
  </si>
  <si>
    <t xml:space="preserve"> Ministry of Environment and Forests</t>
  </si>
  <si>
    <t>World Bank</t>
  </si>
  <si>
    <t>; Infrastructure Development Company Ltd. (IDCOL)</t>
  </si>
  <si>
    <t>Forest Department / MoEFCC</t>
  </si>
  <si>
    <t xml:space="preserve"> Department of Environment</t>
  </si>
  <si>
    <t>; MoEFCC</t>
  </si>
  <si>
    <t>The World Bank, Asian Development Bank</t>
  </si>
  <si>
    <t>The World Bank</t>
  </si>
  <si>
    <t>United Nations Development Programme</t>
  </si>
  <si>
    <r>
      <t xml:space="preserve">73.95%
</t>
    </r>
    <r>
      <rPr>
        <b/>
        <sz val="11"/>
        <color theme="1"/>
        <rFont val="Arial"/>
        <family val="2"/>
      </rPr>
      <t>Strong WASH integration:</t>
    </r>
    <r>
      <rPr>
        <sz val="11"/>
        <color theme="1"/>
        <rFont val="Arial"/>
        <family val="2"/>
      </rPr>
      <t xml:space="preserve"> 300 pond re-excavations, 140 km canals, 2,500 rooftop MAR systems, 40 recharge wells; dedicated MAR Center. 
Focus on safe drinking water + irrigation in drought hotspots.</t>
    </r>
  </si>
  <si>
    <r>
      <rPr>
        <b/>
        <sz val="11"/>
        <color theme="1"/>
        <rFont val="Arial"/>
        <family val="2"/>
      </rPr>
      <t xml:space="preserve">Strong: </t>
    </r>
    <r>
      <rPr>
        <sz val="11"/>
        <color theme="1"/>
        <rFont val="Arial"/>
        <family val="2"/>
      </rPr>
      <t>Equity is integrated throughout design — from targeting to governance — with local ownership and gender-disaggregated M&amp;</t>
    </r>
  </si>
  <si>
    <r>
      <rPr>
        <b/>
        <sz val="11"/>
        <color theme="1"/>
        <rFont val="Arial"/>
        <family val="2"/>
      </rPr>
      <t>Strong</t>
    </r>
    <r>
      <rPr>
        <sz val="11"/>
        <color theme="1"/>
        <rFont val="Arial"/>
        <family val="2"/>
      </rPr>
      <t xml:space="preserve">
Strong gender equity and inclusion, though WASH is incidental. Equity embedded through women’s agency and coastal poverty targeting.</t>
    </r>
  </si>
  <si>
    <r>
      <rPr>
        <b/>
        <sz val="11"/>
        <color theme="1"/>
        <rFont val="Arial"/>
        <family val="2"/>
      </rPr>
      <t>Partial:</t>
    </r>
    <r>
      <rPr>
        <sz val="11"/>
        <color theme="1"/>
        <rFont val="Arial"/>
        <family val="2"/>
      </rPr>
      <t xml:space="preserve"> Gender-sensitive workplace reforms, but lacks mechanisms for poor or marginalized workers beyond formal RMG secto</t>
    </r>
  </si>
  <si>
    <r>
      <t xml:space="preserve">11.52%
</t>
    </r>
    <r>
      <rPr>
        <b/>
        <sz val="11"/>
        <color theme="1"/>
        <rFont val="Arial"/>
        <family val="2"/>
      </rPr>
      <t>Flood-resilient WASH:</t>
    </r>
    <r>
      <rPr>
        <sz val="11"/>
        <color theme="1"/>
        <rFont val="Arial"/>
        <family val="2"/>
      </rPr>
      <t xml:space="preserve"> 500 raised tube wells (serving ~11,250 people), 2,810 sanitary latrines, hygiene awareness campaigns via CCAGs. </t>
    </r>
  </si>
  <si>
    <r>
      <rPr>
        <b/>
        <sz val="11"/>
        <color theme="1"/>
        <rFont val="Arial"/>
        <family val="2"/>
      </rPr>
      <t>Strong:</t>
    </r>
    <r>
      <rPr>
        <sz val="11"/>
        <color theme="1"/>
        <rFont val="Arial"/>
        <family val="2"/>
      </rPr>
      <t xml:space="preserve"> Strong pro-poor and gendered targeting; participatory decision-making and accessible grievance systems.</t>
    </r>
  </si>
  <si>
    <r>
      <t xml:space="preserve">0%
</t>
    </r>
    <r>
      <rPr>
        <b/>
        <sz val="11"/>
        <color theme="1"/>
        <rFont val="Arial"/>
        <family val="2"/>
      </rPr>
      <t>Indirect link only.</t>
    </r>
    <r>
      <rPr>
        <sz val="11"/>
        <color theme="1"/>
        <rFont val="Arial"/>
        <family val="2"/>
      </rPr>
      <t xml:space="preserve">
Project coordinates with other WASH initiatives (e.g., Water &amp; Sanitation Committees, LoGIC, and GIZ solar water project) to complement safe water and sanitation coverage. 
Includes hygiene promotion in behavior-change communication.
</t>
    </r>
  </si>
  <si>
    <r>
      <rPr>
        <b/>
        <sz val="11"/>
        <color theme="1"/>
        <rFont val="Arial"/>
        <family val="2"/>
      </rPr>
      <t>Partial:</t>
    </r>
    <r>
      <rPr>
        <sz val="11"/>
        <color theme="1"/>
        <rFont val="Arial"/>
        <family val="2"/>
      </rPr>
      <t xml:space="preserve"> Strong gender equity benefits, but weak socioeconomic targeting; relies on broad behavioral outreach.</t>
    </r>
  </si>
  <si>
    <r>
      <t xml:space="preserve">42.4%
</t>
    </r>
    <r>
      <rPr>
        <b/>
        <sz val="11"/>
        <color theme="1"/>
        <rFont val="Arial"/>
        <family val="2"/>
      </rPr>
      <t>Direct WASH investments:</t>
    </r>
    <r>
      <rPr>
        <sz val="11"/>
        <color theme="1"/>
        <rFont val="Arial"/>
        <family val="2"/>
      </rPr>
      <t xml:space="preserve"> household and community rainwater harvesting systems, storage tanks, and distribution in salinity-prone Khulna &amp; Satkhira. 
WASH interventions integrated with livelihood resilience and coastal protection.</t>
    </r>
  </si>
  <si>
    <r>
      <rPr>
        <b/>
        <sz val="11"/>
        <color theme="1"/>
        <rFont val="Arial"/>
        <family val="2"/>
      </rPr>
      <t>Strong:</t>
    </r>
    <r>
      <rPr>
        <sz val="11"/>
        <color theme="1"/>
        <rFont val="Arial"/>
        <family val="2"/>
      </rPr>
      <t xml:space="preserve"> One of the most gender-transformative projects in the portfolio, linking equity, resilience, and empowerment.</t>
    </r>
  </si>
  <si>
    <r>
      <t xml:space="preserve">8-12%
</t>
    </r>
    <r>
      <rPr>
        <b/>
        <sz val="11"/>
        <color theme="1"/>
        <rFont val="Arial"/>
        <family val="2"/>
      </rPr>
      <t>Partial/indirect.</t>
    </r>
    <r>
      <rPr>
        <sz val="11"/>
        <color theme="1"/>
        <rFont val="Arial"/>
        <family val="2"/>
      </rPr>
      <t xml:space="preserve"> Project funds 45 new and 20 rehabilitated multipurpose cyclone shelters with resilient water &amp; sanitation facilities (toilets, rainwater harvesting, safe water storage) and builds 80 km of critical roads. 
Urban pilot (Satkhira) includes drainage, flood protection, and basic urban WASH (sanitation/drainage upgrades). WASH is present but secondary to infrastructure.</t>
    </r>
  </si>
  <si>
    <r>
      <rPr>
        <b/>
        <sz val="11"/>
        <color theme="1"/>
        <rFont val="Arial"/>
        <family val="2"/>
      </rPr>
      <t>Partial:</t>
    </r>
    <r>
      <rPr>
        <sz val="11"/>
        <color theme="1"/>
        <rFont val="Arial"/>
        <family val="2"/>
      </rPr>
      <t xml:space="preserve"> Equity mainstreamed in infrastructure design but not in access or governance; community ownership remains modest.</t>
    </r>
  </si>
  <si>
    <t>(FP206 / SAP026)+A2:S2</t>
  </si>
  <si>
    <t>182 upazilas in 30 districts (water-scarce)
Flood, drought, salinity</t>
  </si>
  <si>
    <t>High adaptation value via flood-proof WASH &amp; micro-finance; strong equity.</t>
  </si>
  <si>
    <t>Large loan; limited direct pro-poor benefit; needs better equity.</t>
  </si>
  <si>
    <t>Water, sanitation, drainage (~80%)</t>
  </si>
  <si>
    <t>Surface water supply (~95%)</t>
  </si>
  <si>
    <t>Surface water supply (&gt;90%)</t>
  </si>
  <si>
    <t>Institutional capacity for rural WASH (100%)</t>
  </si>
  <si>
    <t>Sanitation &amp; worker safety (~60%)</t>
  </si>
  <si>
    <t>Moderate women in training &amp; committees</t>
  </si>
  <si>
    <t>Strong (46 co-ops, women-led)</t>
  </si>
  <si>
    <t>Strong women &amp; youth leadership</t>
  </si>
  <si>
    <t>World Bank Project ID: P161227</t>
  </si>
  <si>
    <t>UNICEF/SDC/iDE internal code: SDC-BD-SanMarkS 2018–22</t>
  </si>
  <si>
    <t>IsDB Project Code: BGD1021</t>
  </si>
  <si>
    <t>Denmark MFA Reference: DAN-BD-ICAR-2020</t>
  </si>
  <si>
    <t>AFD Project ID: BGD1000 / EIB Ref: 2019-0689</t>
  </si>
  <si>
    <t>GoB DPP Code: RDPP/RWASA/2022/01</t>
  </si>
  <si>
    <t>EDCF Project Code: P2018-024</t>
  </si>
  <si>
    <t>JICA Project ID: BD-P105 (TA)</t>
  </si>
  <si>
    <t>ADB Project No: 51296-002</t>
  </si>
  <si>
    <t>USAID Activity ID: AID-388-A-15-00006</t>
  </si>
  <si>
    <t>ADB Project No: 53322-001</t>
  </si>
  <si>
    <t>EU Contract No: EuropeAid/159706/DD/ACT/BD</t>
  </si>
  <si>
    <t>EU Contract No: EuropeAid/162119/DD/ACT/BD</t>
  </si>
  <si>
    <t>ADB Project No: 44212-013</t>
  </si>
  <si>
    <t>AIIB Project ID: 000482</t>
  </si>
  <si>
    <t>SDC Project Code: 7F-10159.02 / UNICEF Ref: BD-2021-SanMarkS-II</t>
  </si>
  <si>
    <t>Rural WASH for Human Capital Development</t>
  </si>
  <si>
    <t>Ministry of Local Government, Rural Development and Cooperatives (MoLGRD&amp;C)</t>
  </si>
  <si>
    <t>2021-26</t>
  </si>
  <si>
    <t>Rural poor HHs, women, children, small entrepreneurs prioritized through microfinance &amp; female-led WASH groups</t>
  </si>
  <si>
    <t>Strong gender mainstreaming, women-led credit groups (&gt;50%), gender-disaggregated M&amp;E</t>
  </si>
  <si>
    <t>Chattogram Water
Supply Improvement
and Sanitation Project -
II</t>
  </si>
  <si>
    <t>Coastal urban zone — cyclone and storm-surge prone (low elevation coastal city)*</t>
  </si>
  <si>
    <t>Urban residents (~4 million); low-income areas included via sewer coverage in LIC zones</t>
  </si>
  <si>
    <t>Gender analysis in design phase; community consultation with women households and female headed users</t>
  </si>
  <si>
    <t>Bangladesh Municipal WSS Project (BMWSSP)</t>
  </si>
  <si>
    <t>DPHE in coordination with 30 Pourashavas</t>
  </si>
  <si>
    <t>Strengthens WASH services in secondary towns through DPHE–municipality partnerships; moderate climate co-benefits via drainage and service continuity; needs stronger equity mechanisms.</t>
  </si>
  <si>
    <t>Gender Action Plan included; sex-disaggregated M&amp;E; female staff and local committees in DPHE training</t>
  </si>
  <si>
    <t>Urban populations in municipal areas; low-income wards targeted for improved WSS services</t>
  </si>
  <si>
    <t>Urban flooding and waterlogging risks in low-lying towns</t>
  </si>
  <si>
    <t>30 secondary towns across Bangladesh (urban centres outside Dhaka/CTG)Municipalities in Khulna, Rajshahi, Rangpur</t>
  </si>
  <si>
    <t>Greater Dhaka city (urban low-income zones)</t>
  </si>
  <si>
    <t>Flood-prone megacity; cyclone exposure; urban drainage stress</t>
  </si>
  <si>
    <t>Component 1 – Sewerage rehab and Pagla WWTP (~65%) • Component 2 – New sewer network &amp; pumping stations (~25%) • Component 3 – On-site &amp; FSM in LICs (~10%)</t>
  </si>
  <si>
    <t>~50 000 people in low-income and slum communities benefit directly; city-wide indirect benefit via reduced flood contamination</t>
  </si>
  <si>
    <t>Gender Action Plan includes female consultation in slum design and community WASH outreach; sex-disaggregated indicators for beneficiaries</t>
  </si>
  <si>
    <t>Flood-resilient urban sanitation system reducing climate risk and public-health losses. Design features (elevated WWTP, storm-proof pumping stations, sewer clog reduction) directly address Dhaka’s flood vulnerability. Equity focus on LIC slums ensures adaptation benefits for vulnerable groups. Overall climate relevance ≈ 55 % (adaptation co-benefit).</t>
  </si>
  <si>
    <t>Inclusive &amp; Integrated Sanitation in 10 Towns (CWIS Project)</t>
  </si>
  <si>
    <t>slamic Development Bank (IsDB) + Lives &amp; Livelihoods Fund (LLF)</t>
  </si>
  <si>
    <t>Urban flood and groundwater contamination risk zones</t>
  </si>
  <si>
    <t>Citywide Inclusive Sanitation (CWIS) &amp; FSM ( (~85%)</t>
  </si>
  <si>
    <t>Low-income groups, priority to poor women and children in low-income wards</t>
  </si>
  <si>
    <t>1,000 new sanitation jobs (≥ 33 % women); public awareness reaching ≈ 550 k people (50 % women); institutional training via ITN-BUET on CWIS/FSM and climate planning</t>
  </si>
  <si>
    <t>Strong resilience orientation via CWIS model linking sanitation, flood risk management and livelihoods. Climate relevance ≈ 60 % from CFF reciprocal ranking (0.55×61 + 0.27×46 + 0.18×52). High equity and inclusion score owing to female employment and service to climate-vulnerable towns. Challenges include O&amp;M sustainability across multiple towns.</t>
  </si>
  <si>
    <t xml:space="preserve">Market-based sanitation system (latrine supply chain; behavior change communication, access to finance and policy enabling environment </t>
  </si>
  <si>
    <t>4.5 million rural people (~1 million households); 60% poor, 40% disadvantaged (women, youth, disabled, minorities)</t>
  </si>
  <si>
    <t>Gender-integrated: women entrepreneurs, female-headed households targeted for loans/subsidies; toilets designed for accessibility (elderly, disabled); GESI mainstreamed in design and M&amp;E</t>
  </si>
  <si>
    <t>Major rural WASH initiative embedding climate resilience into sanitation marketing. Flood- and cyclone-resistant latrine models developed; focuses on hard-to-reach, climate-stressed areas. Strong pro-poor, gender, and disability inclusion. A national model for integrating adaptation into WASH markets.</t>
  </si>
  <si>
    <t>Urban Water Supply &amp; Sanitation in 23 Pourashavas (Bangladesh)</t>
  </si>
  <si>
    <t>2019-2024</t>
  </si>
  <si>
    <t>23 secondary towns nationwide (flood- &amp; coastal-risk zones)</t>
  </si>
  <si>
    <t>Significant adaptation co-benefits via drainage and FSM; climate features mainly standard engineering designs rather than explicit climate proofing.</t>
  </si>
  <si>
    <t>Inclusive Climate Adaptation and Resilience (ICAR) Project – Cox’s Baza</t>
  </si>
  <si>
    <t>Cox’s Bazar District (coastal &amp; refugee-hosting region)</t>
  </si>
  <si>
    <t>Cyclones, storm surges, flooding, salinity, and landslides</t>
  </si>
  <si>
    <t xml:space="preserve">WASH infrastructure (climate-resilient water points, elevated latrines, drainage, FSM); Livelihoods &amp; community adaptation; Capacity &amp; awareness </t>
  </si>
  <si>
    <t>Rohingya refugees and vulnerable host communities (women, children, marginalized groups)</t>
  </si>
  <si>
    <t>Strong pro-poor targeting; women-led WASH groups; gender-sensitive facilities; focus on refugee and host-community inclusion</t>
  </si>
  <si>
    <t>High-relevance adaptation project with solar-powered water systems, saline-proof wells, and elevated sanitation. Delivers resilient WASH for climate-exposed populations; strong social inclusion and equity orientation. Demonstrates integrated humanitarian–development–climate linkage in Bangladesh’s most hazard-prone district.</t>
  </si>
  <si>
    <t>Saidabad Water Treatment Plant Phase III – Securing Dhaka’s Drinking Water Supply</t>
  </si>
  <si>
    <t>DWASA</t>
  </si>
  <si>
    <t>2019-2017</t>
  </si>
  <si>
    <t>Drought, flood, salinity intrusion, heat stress</t>
  </si>
  <si>
    <t>Surface-water intake and transmission (~50%); 450 MLD treatment plant (~35%); distribution network expansion (~10%); sludge &amp; LIC components (~5%)</t>
  </si>
  <si>
    <t>City-wide population (&gt;10 million); low-income communities benefit via LIC water supply sub-project</t>
  </si>
  <si>
    <t>LIC component serves slums (2,100 water points); community training and hygiene promotion integrated with main project</t>
  </si>
  <si>
    <t>Strategic urban adaptation project reducing aquifer stress and ensuring water security under drought and flood scenarios. Design includes Meghna intake above 1-in-100-year flood (+0.5 m freeboard), low-flow drought protection, and salinity avoidance. Equity via slum supply adds social value. Moderate-high adaptation significance.</t>
  </si>
  <si>
    <t>ADB Project No. 42173-013 / EIB Ref. 20150515</t>
  </si>
  <si>
    <t>Dhaka Environmentally Sustainable Water Supply Project (DESWSP)</t>
  </si>
  <si>
    <t>Asian Development Bank (ADB), European Investment Bank (EIB), GoB</t>
  </si>
  <si>
    <t>4–6 million Dhaka residents; indirect benefit to LICs via system-wide reliability</t>
  </si>
  <si>
    <t>Gender Action Plan applied to community outreach; limited direct LIC coverage; some training for women engineers under DWASA capacity program</t>
  </si>
  <si>
    <t>Major urban adaptation project diversifying Dhaka’s water sources away from overdrawn aquifers. Surface water intake and treatment plant engineered for 1-in-100-year flood resilience; low-flow drought security and salinity-proof design. Climate relevance ≈ 59% (CFF-weighted). Limited direct pro-poor targeting but strong systemic resilience benefits.</t>
  </si>
  <si>
    <t>Rajshahi Surface Water Treatment Plant (SWTP)</t>
  </si>
  <si>
    <t>Government of Bangladesh (with Chinese contractor support – Hunan Construction Engineering Group)</t>
  </si>
  <si>
    <t>2020-2027</t>
  </si>
  <si>
    <t>Rajshahi City &amp; peri-urban municipalities (Katakhali, Naohata)</t>
  </si>
  <si>
    <t>100% of Rajshahi’s 650,000+ residents; low-income wards &amp; peri-urban areas targeted for new connections</t>
  </si>
  <si>
    <t>Inclusive coverage (universal city service goal); public standpipes &amp; hydrants ensure access for poor households</t>
  </si>
  <si>
    <t>Climate-resilient urban water project securing sustainable surface water from the Padma River to replace groundwater. Drought-proof design, improved quality, universal coverage, and modernized pipelines enhance resilience for all residents. Estimated 50–60% climate relevance under CFF.</t>
  </si>
  <si>
    <t>Ensures 200 MLD treated water supply from Padma River (Farhadpur); 26 km transmission + 48 km network; Tk 4,062 crore total. Funded by GoB with Chinese construction; full coverage by 2027.</t>
  </si>
  <si>
    <t>Bhandal Jhuri Water Supply Project – South Chattogram</t>
  </si>
  <si>
    <t>Economic Development Cooperation Fund (EDCF – Korea EXIM Bank)</t>
  </si>
  <si>
    <t>Southern coastal upazilas of Chattogram (Patiya, Anwara, Boalkhali, Karnaphuli)</t>
  </si>
  <si>
    <t>Surface-water intake &amp; 60 MLD treatment plant (~55%); 60 km pipeline &amp; reservoirs (~35%); O&amp;M, training &amp; social measures (~10%)</t>
  </si>
  <si>
    <t>~0.3–0.4 million people in climate-vulnerable coastal communities; some industrial users (KEPZ)</t>
  </si>
  <si>
    <t>Limited gender/LIC targeting; primarily technical WASH project; indirect equity gains via improved water quality and reliability</t>
  </si>
  <si>
    <t>Replaces saline groundwater with surface water from the Karnaphuli River; flood-resilient reservoirs and pipelines; key adaptation for cyclone-prone coastal zone. However, industrial bias and limited pro-poor targeting reduce overall climate equity impact.</t>
  </si>
  <si>
    <t>Coastal surface water scheme (60 MLD WTP, 60 km pipeline, reservoirs). improves safe water access and reduces salinity vulnerability in south Chattogram.</t>
  </si>
  <si>
    <t>Project for Improvement of Comprehensive Management Capacity of DPHE on Water Supply (Phase II)</t>
  </si>
  <si>
    <t>Nationwide (with focus on saline, drought, and arsenic-prone regions)</t>
  </si>
  <si>
    <t>Salinity intrusion (coastal); low groundwater tables (drought); arsenic contamination</t>
  </si>
  <si>
    <t>DPHE engineers and staff; indirect benefits to rural &amp; small-town residents in climate-stressed areas</t>
  </si>
  <si>
    <t>Gender-balanced training; improved service reliability in vulnerable communities</t>
  </si>
  <si>
    <t>trengthens DPHE’s nationwide management capacity (guidelines, MIS, O&amp;M) to support safe, sustainable rural and small-town water systems; focus on salinity- and drought-affected zones.</t>
  </si>
  <si>
    <t>Capacity-building project strengthening DPHE’s technical, planning, and O&amp;M systems for water supply in climate-vulnerable areas. Indirectly enhances resilience to salinity and drought; ~30% climate relevance as co-benefit of institutional strengthening.</t>
  </si>
  <si>
    <t>Inclusive and Resilient Urban Water Supply and Sanitation Project in the Chattogram Hill Tracts (CHT WSS)</t>
  </si>
  <si>
    <t>DPHE and local municipalities (Bandarban, Lama, Rangamati)</t>
  </si>
  <si>
    <t>Mountainous terrain; landslide &amp; flood risk; cyclone exposure in southern CHT</t>
  </si>
  <si>
    <t>Water treatment plants &amp; networks (~70%); sanitation &amp; solid waste facilities (~20%); GESI &amp; capacity building (~10%)</t>
  </si>
  <si>
    <t>≈ 200,000 urban residents (&gt; 50% indigenous groups); focus on women &amp; low-income households</t>
  </si>
  <si>
    <t>≥ 60% women in awareness activities; 90% female trainees; town committees ensure indigenous representation</t>
  </si>
  <si>
    <t>Urban Resilience Axis / CFF 46 % &amp; 61 % weighted ≈ 58 %
Builds climate-resilient urban WASH systems in remote CHT towns with inclusive participatory design. Combines hardware (WTPs, networks, waste facilities) with climate proofing and GESI training. Moderate-high climate relevance (≈ 58 %).</t>
  </si>
  <si>
    <t>USD 109 m project (ADB loan ≈ 90 m); 44 MLD capacity, 24 km transmission &amp; 340 km distribution lines; integrated FSM &amp; solid waste facilities; strong gender and indigenous inclusion.</t>
  </si>
  <si>
    <t>Nobo Jatra – New Beginning (Resilience Food Security Activity)</t>
  </si>
  <si>
    <t>Ministry of Disaster Management &amp; Relief (MoDMR) / Ministry of Women &amp; Children Affairs (MoWCA)</t>
  </si>
  <si>
    <t>World Vision Bangladesh (lead) with Winrock International &amp; GoB</t>
  </si>
  <si>
    <t>2015–22</t>
  </si>
  <si>
    <t>Coastal districts of Khulna &amp; Satkhira (4 upazilas)</t>
  </si>
  <si>
    <t>Salinity intrusion, cyclones, tidal flooding, drought</t>
  </si>
  <si>
    <t>WASH (rainwater harvesting, RO systems, sanitation) ≈ 40%; Livelihood &amp; nutrition ≈ 40%; Gender &amp; governance ≈ 20%</t>
  </si>
  <si>
    <t>856,000+ participants (199,000+ poor households, women, and children)</t>
  </si>
  <si>
    <t>96% of livelihood trainees female; 60% women in ultra-poor graduation program; gender- and youth-centered community structures</t>
  </si>
  <si>
    <t>Integrated coastal adaptation program combining WASH, nutrition, and resilient livelihoods. Addresses salinity, drought, and food security; strong gender and pro-poor inclusion. Climate relevance ≥ 65 %.</t>
  </si>
  <si>
    <t>Seven-year (2015–22) $73 m USAID grant in Khulna &amp; Satkhira; installed rainwater/RO systems &amp; latrines; cash &amp; training support to vulnerable women and households; model “adaptation-first” initiative.</t>
  </si>
  <si>
    <t>Climate-Resilient Livelihood Improvement &amp; Watershed Management in the Chittagong Hill Tracts (CRLIWM)</t>
  </si>
  <si>
    <t>Ministry of Chittagong Hill Tracts Affairs (MoCHTA)</t>
  </si>
  <si>
    <t>Chittagong Hill Tracts Development Board (CHTDB) in partnership with DPHE, LGED, and local councils</t>
  </si>
  <si>
    <t>2023-2028</t>
  </si>
  <si>
    <t>Hillside erosion, flash floods, drought, water scarcity</t>
  </si>
  <si>
    <t>Rural WASH &amp; water harvesting (~20%); watershed restoration &amp; forestry (~30%); resilient agriculture &amp; irrigation (~30%); climate-resilient rural infrastructure (~20%)</t>
  </si>
  <si>
    <t>~57,000 poor indigenous households; smallholders on ~7,500 ha; women and ethnic minority communities</t>
  </si>
  <si>
    <t>Strong gender action plan: women’s livelihood groups, training (≥40% women), and social inclusion in all subprojects</t>
  </si>
  <si>
    <t>IIntegrated climate-resilient development project for CHT. Combines watershed conservation, resilient agriculture, water systems, and inclusive livelihoods. Explicit climate framing and nature-based solutions. High climate relevance (~60%).</t>
  </si>
  <si>
    <t>Urban WSS &amp; drainage (~85%) water supply 56%, sanitation 30%, Public Admin-Water Sanitation, and Solid Waste Management 14%</t>
  </si>
  <si>
    <t>Water supply expansion (≈ 91 %); sewerage and , sanitation. FSM (≈ 6 %); drainage &amp; O&amp;M capacity (≈ 3 %)</t>
  </si>
  <si>
    <t>Resilient water schemes, elevated latrines (~70%)'water supply 26%, sanitaion 66% Public Admin-Water Sanitation, and Solid Waste Management 8%</t>
  </si>
  <si>
    <r>
      <t>World Bank Project ID: P169342</t>
    </r>
    <r>
      <rPr>
        <sz val="11"/>
        <color theme="1"/>
        <rFont val="Arial"/>
        <family val="2"/>
      </rPr>
      <t xml:space="preserve"> / </t>
    </r>
    <r>
      <rPr>
        <b/>
        <sz val="11"/>
        <color theme="1"/>
        <rFont val="Arial"/>
        <family val="2"/>
      </rPr>
      <t>AIIB Project ID: 000398</t>
    </r>
  </si>
  <si>
    <r>
      <t>World Bank Project ID: P176429</t>
    </r>
    <r>
      <rPr>
        <sz val="11"/>
        <color theme="1"/>
        <rFont val="Arial"/>
        <family val="2"/>
      </rPr>
      <t xml:space="preserve"> / </t>
    </r>
    <r>
      <rPr>
        <b/>
        <sz val="11"/>
        <color theme="1"/>
        <rFont val="Arial"/>
        <family val="2"/>
      </rPr>
      <t>AIIB Project ID: 000449</t>
    </r>
  </si>
  <si>
    <r>
      <t>World Bank Project ID: P161432</t>
    </r>
    <r>
      <rPr>
        <sz val="11"/>
        <color theme="1"/>
        <rFont val="Arial"/>
        <family val="2"/>
      </rPr>
      <t xml:space="preserve"> / </t>
    </r>
    <r>
      <rPr>
        <b/>
        <sz val="11"/>
        <color theme="1"/>
        <rFont val="Arial"/>
        <family val="2"/>
      </rPr>
      <t>AIIB Project ID: 000318</t>
    </r>
  </si>
  <si>
    <r>
      <t>IsDB Project Code: BGD1009</t>
    </r>
    <r>
      <rPr>
        <sz val="11"/>
        <color theme="1"/>
        <rFont val="Arial"/>
        <family val="2"/>
      </rPr>
      <t xml:space="preserve"> / </t>
    </r>
    <r>
      <rPr>
        <b/>
        <sz val="11"/>
        <color theme="1"/>
        <rFont val="Arial"/>
        <family val="2"/>
      </rPr>
      <t>LLF Ref. 2019-043-BD</t>
    </r>
  </si>
  <si>
    <r>
      <t xml:space="preserve">AFD, </t>
    </r>
    <r>
      <rPr>
        <b/>
        <sz val="11"/>
        <color theme="1"/>
        <rFont val="Arial"/>
        <family val="2"/>
      </rPr>
      <t>EIB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EU</t>
    </r>
    <r>
      <rPr>
        <sz val="11"/>
        <color theme="1"/>
        <rFont val="Arial"/>
        <family val="2"/>
      </rPr>
      <t>,</t>
    </r>
  </si>
  <si>
    <t xml:space="preserve">Dignifying Lives – Socio-Economic Empowerment of Informal Waste &amp; Sanitation Workers
</t>
  </si>
  <si>
    <t>MoLGRD&amp;C /Municipalities</t>
  </si>
  <si>
    <t>Practical Action + Municipal Association of Bangladesh</t>
  </si>
  <si>
    <t>Urban sanitation &amp; solid waste (~60%); worker safety &amp; inclusion (~40%)</t>
  </si>
  <si>
    <t>Informal sanitation &amp; waste workers (Dalit/Harijan, women)</t>
  </si>
  <si>
    <t>Improved dignity, safety, and livelihoods of sanitation workers; safer waste services in flood-prone towns; moderate climate co-benefits via resilient WASH and livelihoods.</t>
  </si>
  <si>
    <t>Coastal Towns Environmental Infrastructure Project (CTEIP), Bangladesh – Climate Adaptation and Project Analysis</t>
  </si>
  <si>
    <t>Slum-based Citizens Action Network (SCAN) – WASH and Waste Management for Dhaka’s Slums</t>
  </si>
  <si>
    <t>MoLGRD&amp;C / Dhaka North &amp; South City Corporations</t>
  </si>
  <si>
    <t>Resource Integration Centre (RIC) &amp; Solidarités International (SI)</t>
  </si>
  <si>
    <t>Small-scale WASH &amp; drainage works (~50%); governance &amp; advocacy (~30%); community groups &amp; awareness (~20%)</t>
  </si>
  <si>
    <t>Community-led WASH/drainage fixes in flood-prone slums and strong civic platforms improved service responsiveness; adaptation co-benefits via reduced waterlogging and safer sanitation.</t>
  </si>
  <si>
    <t>Implemented in 10 slums across 8 wards; 29 CSOs recognized; ceremonies and reports note tangible WASH/drainage impacts and LA engagement; scope mixed “hardware” (latrines, drains) and “software” (CSOs, help desks).</t>
  </si>
  <si>
    <t>#</t>
  </si>
  <si>
    <t>Project</t>
  </si>
  <si>
    <t>Relevant CFF Criteria</t>
  </si>
  <si>
    <t>Weighted Calculation</t>
  </si>
  <si>
    <t>Adjusted Climate Relevance Score (%)</t>
  </si>
  <si>
    <t>Adjustment Rationale</t>
  </si>
  <si>
    <t>WASH in climate-vulnerable areas (46%)</t>
  </si>
  <si>
    <t>WASH 46</t>
  </si>
  <si>
    <t>8 coastal pourashavas (Barguna, Bhola, Daulatkhan, Kalapara, Pirojpur, Amtali, Mathbaria, Galachipa)</t>
  </si>
  <si>
    <t>Cyclone &amp; storm-surge zone; tidal and pluvial flooding; salinity intrusion</t>
  </si>
  <si>
    <t>Urban drainage 79 km (~30%); water supply 194 km pipes (~25%); sanitation (51 public toilets + 5 FSTPs, ~20%); roads &amp; shelters (~25%) |</t>
  </si>
  <si>
    <t>500 000 residents in 8 coastal towns, incl. low-income wards and slums</t>
  </si>
  <si>
    <t>Gender-inclusive cyclone shelters, 33–40% women in planning forums; separate toilets and livelihood roles for women</t>
  </si>
  <si>
    <t>Fully climate-resilient urban WASH and infrastructure project under PPCR; key risks in O&amp;M and municipal revenue capacity noted but mitigated via training and performance-based funding.</t>
  </si>
  <si>
    <t>Climate-proofed drainage, roads, water supply, sanitation and shelters in 8 coastal towns of Bangladesh; integrated urban resilience model with local government ownership and community participation.</t>
  </si>
  <si>
    <t>Bangladesh City Inclusive Sanitation Project</t>
  </si>
  <si>
    <t xml:space="preserve"> (DPHE) / Local Government Division (LGD)</t>
  </si>
  <si>
    <t>Dhaka Metropolitan Region (incl. Gazipur &amp; Narayanganj) |.</t>
  </si>
  <si>
    <t>Urban flooding &amp; drainage failure; waterlogging; public-health risks in slums</t>
  </si>
  <si>
    <t>Sewer networks &amp; WWTPs (~50%); FSM facilities (~25%); communal toilets &amp; hygiene promotion (~15%); drainage improvements (~10%) |</t>
  </si>
  <si>
    <t>Gender-inclusive public toilets; women’s groups and community enterprises in FSM services; social behavior change for hygiene practices</t>
  </si>
  <si>
    <t>Large-scale urban sanitation and FSM investment with explicit climate-resilient design (flood-proofed toilets, elevated facilities). Targets pro-poor service gaps and institutional capacity for inclusive CWIS delivery. Estimated 55–60% climate relevance due to flood adaptation and equity focus. |</t>
  </si>
  <si>
    <t>National sanitation market systems project linking 3,000 latrine producers with private firms; 1.2M improved toilets by 2024; policy integration for pro-poor market-based sanitation under SDP.</t>
  </si>
  <si>
    <t>Scale-up of Phase I with climate-resilient latrine designs. Market-based WASH program scaling climate-resilient rural sanitation, integrating local entrepreneurs, finance access, and pro-poor subsidies. Builds resilience to drought, floods &amp; salinity.</t>
  </si>
  <si>
    <t>~4.5 million people (1 million HHs); 60% poor, 40% disadvantaged (women, youth, disabled, minorities) |</t>
  </si>
  <si>
    <t>International Development Enterprise (iDE) Bangladesh (with UNICEF &amp; SDC</t>
  </si>
  <si>
    <t>SDC + UNICEF (Co-financing)</t>
  </si>
  <si>
    <t>Drought, flood, cyclone, salinity-affected rural areas</t>
  </si>
  <si>
    <t>35 rural districts across Bangladesh (incl. flood, drought &amp; coastal belts)</t>
  </si>
  <si>
    <t>Rural sanitation marketing &amp; supply chain development (~60%); pro-poor financing &amp; subsidies (~25%); behavior change &amp; enabling environment (~15%)</t>
  </si>
  <si>
    <t>Women-led enterprises, gender-responsive BCC, disability-inclusive toilet designs</t>
  </si>
  <si>
    <t>Ensure sustainable surface water supply from Meghna River; drought- and salinity-resilient design</t>
  </si>
  <si>
    <t>CFF weighted reciprocal rank method:</t>
  </si>
  <si>
    <t xml:space="preserve">Drought/Salinity </t>
  </si>
  <si>
    <t xml:space="preserve">WASH vulnerable areas </t>
  </si>
  <si>
    <t>Flood/Cyclone adaptation %</t>
  </si>
  <si>
    <t>Cyclone/Storm-surge adaptation 72%</t>
  </si>
  <si>
    <t xml:space="preserve">Urban drainage 61%; </t>
  </si>
  <si>
    <t>WASH in climate-vulnerable urban areas 46% (minor)</t>
  </si>
  <si>
    <t xml:space="preserve"> Urban drainage (61%)</t>
  </si>
  <si>
    <t xml:space="preserve">WASH in climate-vulnerable areas </t>
  </si>
  <si>
    <t xml:space="preserve"> Urban drainage </t>
  </si>
  <si>
    <t xml:space="preserve">Urban drainage improvement (61%); </t>
  </si>
  <si>
    <t>%</t>
  </si>
  <si>
    <t>Urban drainage improvement (61%)</t>
  </si>
  <si>
    <t xml:space="preserve"> Livelihood protection/awareness (52%)</t>
  </si>
  <si>
    <t>Adaptation against floods (70%);</t>
  </si>
  <si>
    <t xml:space="preserve"> Livelihood protection in fragile zones (52%)</t>
  </si>
  <si>
    <t>Adaptation against floods</t>
  </si>
  <si>
    <t xml:space="preserve">WASH in climate-vulnerable areas (46%); </t>
  </si>
  <si>
    <t>Cyclone/storm-surge adaptation (72%)</t>
  </si>
  <si>
    <t xml:space="preserve"> WASH in climate-vulnerable areas (46%)</t>
  </si>
  <si>
    <t>Livelihood protection in fragile zones (52%)</t>
  </si>
  <si>
    <t>Adaptation against drought/salinity/submergence/heat (66%)</t>
  </si>
  <si>
    <t>Adaptation against drought/salinity/submergence/heat (66%);</t>
  </si>
  <si>
    <t xml:space="preserve">Adaptation against drought/salinity/heat (66%); </t>
  </si>
  <si>
    <t>General WASH system strengthening (~25%)</t>
  </si>
  <si>
    <t xml:space="preserve"> Livelihood &amp; community resilience (52%)</t>
  </si>
  <si>
    <t xml:space="preserve"> WASH in climate-vulnerable areas (46%);</t>
  </si>
  <si>
    <t>WASH in climate-vulnerable areas (46%);</t>
  </si>
  <si>
    <t>Climate-resilient cropping systems (69%)</t>
  </si>
  <si>
    <t>WASH (46%);</t>
  </si>
  <si>
    <t xml:space="preserve">Cyclone adaptation (72%); </t>
  </si>
  <si>
    <t xml:space="preserve"> WASH (46%)</t>
  </si>
  <si>
    <t>Flood  adaptation (70%);</t>
  </si>
  <si>
    <t>Drainage 61;</t>
  </si>
  <si>
    <t xml:space="preserve"> Livelihoods 52</t>
  </si>
  <si>
    <t xml:space="preserve"> WASH 46;</t>
  </si>
  <si>
    <t xml:space="preserve">
</t>
  </si>
  <si>
    <r>
      <t>Downward↓</t>
    </r>
    <r>
      <rPr>
        <sz val="9"/>
        <color theme="1"/>
        <rFont val="Arial"/>
        <family val="2"/>
      </rPr>
      <t xml:space="preserve"> – Climate co-benefits (flood-proof sanitation, reduced sewage overflows) are clear, but project framed mainly as urban sanitation infra. Equity reach small (50k LICs vs millions served). Pro-poor climate lens weak → Step-2 adjustment.</t>
    </r>
  </si>
  <si>
    <r>
      <t>Retained</t>
    </r>
    <r>
      <rPr>
        <sz val="9"/>
        <color rgb="FF000000"/>
        <rFont val="Arial"/>
        <family val="2"/>
      </rPr>
      <t xml:space="preserve"> – Direct climate adaptation: flood/cyclone-resilient WASH &amp; drainage in 8 coastal towns. Strong participatory design. Debt-heavy and weak O&amp;M capacity, but climate-first → retain high score.</t>
    </r>
  </si>
  <si>
    <t>Single Criteria</t>
  </si>
  <si>
    <t>Two Criteria</t>
  </si>
  <si>
    <t>Three Criteria</t>
  </si>
  <si>
    <t>Primary</t>
  </si>
  <si>
    <t>Secondary</t>
  </si>
  <si>
    <t>Tertaiary</t>
  </si>
  <si>
    <t>Weightage</t>
  </si>
  <si>
    <t>Percentage (%)</t>
  </si>
  <si>
    <t>Food security, social protection, and health</t>
  </si>
  <si>
    <t>Institutional Capacity for research towards climate resilient cultivars and their resilience</t>
  </si>
  <si>
    <t>Development of climate resilient cropping systems and production technologies</t>
  </si>
  <si>
    <t>Adaptation against drought, salinity, submergence and heat</t>
  </si>
  <si>
    <t>Adaptation in the fisheries sector</t>
  </si>
  <si>
    <t>Adaptation in Livestock Sector</t>
  </si>
  <si>
    <t>Adaptation in Health Sector</t>
  </si>
  <si>
    <t>Water and sanitation programme for climate vulnerable areas</t>
  </si>
  <si>
    <t>Livelihood protection in ecologically fragile and climate vulnerable zones</t>
  </si>
  <si>
    <t>Livelihood protection of vulnerable socio- economic groups (including women)</t>
  </si>
  <si>
    <t>Comprehensive disaster management</t>
  </si>
  <si>
    <t>Implementation of specific climate policy-strategies or comprehensive disaster management related activities funded from the Climate Fund</t>
  </si>
  <si>
    <t>Improvement of flood forecasting and early warning systems</t>
  </si>
  <si>
    <t>Improvement of cyclone and storm-surge warning</t>
  </si>
  <si>
    <t>Awareness raising and public education towards climate resilience</t>
  </si>
  <si>
    <t>Risk management against loss of income and property</t>
  </si>
  <si>
    <t>Infrastructure</t>
  </si>
  <si>
    <t>Implementation of specific climate policy-strategies or Infrastructure related activities funded from the Climate Fund</t>
  </si>
  <si>
    <t>Repair and maintenance of existing flood embankments</t>
  </si>
  <si>
    <t>Repair and maintenance of existing cyclone shelters</t>
  </si>
  <si>
    <t>Repair and maintenance of existing coastal polders</t>
  </si>
  <si>
    <t>Improvement of urban drainage</t>
  </si>
  <si>
    <t>Adaptation against future cyclones and storm-surges</t>
  </si>
  <si>
    <t>Planning, design and construction of river training works</t>
  </si>
  <si>
    <t>Planning, design and implementation of resuscitation of the network of rivers and khals through dredging and de-salutations work</t>
  </si>
  <si>
    <t>Research and knowledge management</t>
  </si>
  <si>
    <t>Implementation of specific climate policy-strategies or research and knowledge management related activities funded from the Climate Fund</t>
  </si>
  <si>
    <t>Establishment of a centre for research, knowledge management and training on climate change</t>
  </si>
  <si>
    <t>Climate Change Modelling at National and sub-national levels</t>
  </si>
  <si>
    <t>Preparatory studies for Adaptation against sea level rise and its impacts</t>
  </si>
  <si>
    <t>Monitoring of Eco system and Bio- diversity changes and their impacts</t>
  </si>
  <si>
    <t>Macroeconomic and sectoral economic impacts of climate change</t>
  </si>
  <si>
    <t>Monitoring of Internal and External Migration and providing support of capacity building for rehabilitation</t>
  </si>
  <si>
    <t>Monitoring of impact for management of Tourism and improvement of priority action plan</t>
  </si>
  <si>
    <t>Mitigation and low-carbon development</t>
  </si>
  <si>
    <t>Implementation of specific climate policy-strategies or Mitigation and low-carbon development related activities funded from the Climate Fund</t>
  </si>
  <si>
    <t>Improved energy efficiency</t>
  </si>
  <si>
    <t>Gas Exploration and reservoir management</t>
  </si>
  <si>
    <t>Development of coal mines and coal fired power station</t>
  </si>
  <si>
    <t>Renewable energy development</t>
  </si>
  <si>
    <t>Lower emission from agricultural land</t>
  </si>
  <si>
    <t>Management of urban waste</t>
  </si>
  <si>
    <t>Forestation and reforestation program</t>
  </si>
  <si>
    <t>Rapid expansion of energy saving devices e.g. CFL</t>
  </si>
  <si>
    <t>Energy and water efficiency in built environment</t>
  </si>
  <si>
    <t>Improving in energy consumption pattern in transport sector and options for mitigation</t>
  </si>
  <si>
    <t>Capacity building and institutional strengthening</t>
  </si>
  <si>
    <t>Implementation of specific climate policy-strategies or capacity building and institutional strengthening related activities funded from the Climate Fund</t>
  </si>
  <si>
    <t>Revision of sector policies for climate resilience</t>
  </si>
  <si>
    <t>Mainstreaming climate change in National, Sector and Spatial Development program</t>
  </si>
  <si>
    <t>Strengthening human resource capacity</t>
  </si>
  <si>
    <t>Strengthening gender consideration in climate change management</t>
  </si>
  <si>
    <t>Strengthening institutional capacity for Climate Risk Management</t>
  </si>
  <si>
    <t>Mainstreaming climate change in the media</t>
  </si>
  <si>
    <t>Not Climate Relevant</t>
  </si>
  <si>
    <t>Implementation of specific climate policy-strategies or food security, social protection and health related activities funded from the Climate Fund</t>
  </si>
  <si>
    <t>Implementing Entities</t>
  </si>
  <si>
    <t>ICIMOD (Regional Implementing Entity)</t>
  </si>
  <si>
    <t>None reported</t>
  </si>
  <si>
    <t>Flash floods, landslides, drought, erosion; marginalised ethnic/tribal groups; hard-to-reach, conflict-affected, ecologically fragile hill regions</t>
  </si>
  <si>
    <t>GRACE-LoCALplus builds climate resilience in 25 Upazilas in CHT through Performance-Based Climate Resilience Grants (PBCRG), informed by local adaptation plans (LAPAs), climate risk mapping, and stakeholder participation. Focuses on gender, social inclusion, ecosystem-based adaptation, and water stress, with concrete outcomes across agriculture, biodiversity, early warning, and WASH access. Aligns with national adaptation strategies and seeks to mainstream climate finance in local governance..</t>
  </si>
  <si>
    <t>Highly integrated, transformative adaptation intervention in fragile, underserved areas; anchored in national systems with PBCRG; replicable and equity-driven</t>
  </si>
  <si>
    <t>Climate Criteria Relevance</t>
  </si>
  <si>
    <r>
      <t xml:space="preserve">CFF weighted reciprocal rank method: </t>
    </r>
    <r>
      <rPr>
        <sz val="8"/>
        <color theme="1"/>
        <rFont val="Arial"/>
        <family val="2"/>
      </rPr>
      <t>Weighting Criteria: Following the CFF, each project component was assigned a percentage weight of climate relevance,</t>
    </r>
  </si>
  <si>
    <t>A transboundary initiative improving hydrological forecasting, seasonal outlooks, and early warning systems for floods and droughts. Builds institutional capacity for climate-informed decision-making, targeting planners and vulnerable communities in at-risk districts. Gender equality is integrated through training, M&amp;E, and outreach.</t>
  </si>
  <si>
    <t>Strong on systemic resilience, early warning, and gender-sensitive data; weak on direct WASH service provision. Suitable for policy integration and long-term adaptation planning, not immediate infrastructure delivery.</t>
  </si>
  <si>
    <t>GRACE LoCALplus (ICIMOD)</t>
  </si>
  <si>
    <t>Livelihood protection 52%</t>
  </si>
  <si>
    <t>HydroSOS BaNe (WMO)</t>
  </si>
  <si>
    <t>Adaptation for Offshore Islands &amp; Riverine Charlands (UNDP)</t>
  </si>
  <si>
    <t>Solar-powered RO Innovation (PKSF)</t>
  </si>
  <si>
    <t>Salinity adaptation 66%</t>
  </si>
  <si>
    <t>72% (High)</t>
  </si>
  <si>
    <t>61% (High)</t>
  </si>
  <si>
    <t>53% (Moderate High)</t>
  </si>
  <si>
    <t>67% (High)</t>
  </si>
  <si>
    <t>Adaptation Fund</t>
  </si>
  <si>
    <t>Drought/Salinity/Heat Adaptation 66%</t>
  </si>
  <si>
    <t>Flood forecasting (61%)</t>
  </si>
  <si>
    <t>Risk management for income/property%</t>
  </si>
  <si>
    <t>Research &amp; modelling (90%)</t>
  </si>
  <si>
    <t>Drinking water in saline areas (46%)</t>
  </si>
  <si>
    <t>Cyclone resilience (72%)</t>
  </si>
  <si>
    <t>Livelihood protection (52%)</t>
  </si>
  <si>
    <t>Climate Resilient Infrastructure</t>
  </si>
  <si>
    <t>Water &amp; sanitation in climate-vulnerable areas (46%)</t>
  </si>
  <si>
    <t>GEF</t>
  </si>
  <si>
    <t>619 – Initial National Communication to UNFCCC</t>
  </si>
  <si>
    <t xml:space="preserve">Forest &amp; Ecosystem Resilience (69%), </t>
  </si>
  <si>
    <t>668 – Coastal &amp; Wetland Biodiversity Management</t>
  </si>
  <si>
    <t xml:space="preserve">Water &amp; Sanitation in Vulnerable Areas (46%), </t>
  </si>
  <si>
    <t>Fisheries Adaptation (62%)</t>
  </si>
  <si>
    <t>Climate Policy &amp; Reporting (100%)</t>
  </si>
  <si>
    <t xml:space="preserve">Flood Resilience (70%), </t>
  </si>
  <si>
    <t xml:space="preserve">Wetland Restoration (69%), </t>
  </si>
  <si>
    <t>Livelihood Protection (52%)</t>
  </si>
  <si>
    <t>Institutional Capacity for Climate Mainstreaming (77%)</t>
  </si>
  <si>
    <t>Rural Electrification &amp; Renewable Energy Development</t>
  </si>
  <si>
    <t>Renewable Energy (81%)</t>
  </si>
  <si>
    <t>POPs National Implementation Plan</t>
  </si>
  <si>
    <t>Chemical Pollution Control (40%)</t>
  </si>
  <si>
    <t>Energy Efficiency (69%)</t>
  </si>
  <si>
    <t>National Adaptation Programme of Action</t>
  </si>
  <si>
    <t xml:space="preserve">2026 – </t>
  </si>
  <si>
    <t>Climate Policy &amp; Planning (100%)</t>
  </si>
  <si>
    <t>National Capacity Self-Assessment</t>
  </si>
  <si>
    <t>Institutional Capacity (77%)</t>
  </si>
  <si>
    <t xml:space="preserve"> Coastal Afforestation (CBA Project)</t>
  </si>
  <si>
    <t>Forestation (69%)</t>
  </si>
  <si>
    <t>Cyclone Resilience (72%)</t>
  </si>
  <si>
    <t>3306 –</t>
  </si>
  <si>
    <t xml:space="preserve"> SLM Capacity &amp; Resource Mobilization</t>
  </si>
  <si>
    <t>Land Degradation Control (66%),</t>
  </si>
  <si>
    <t>National Biosafety Framework</t>
  </si>
  <si>
    <t xml:space="preserve">4022 – </t>
  </si>
  <si>
    <t>Environmental Governance (40%)</t>
  </si>
  <si>
    <t>Sustainable Renewable Energy Power (SREPGen)</t>
  </si>
  <si>
    <t xml:space="preserve">4459 – </t>
  </si>
  <si>
    <t>9368 – Low-Carbon Urban Development</t>
  </si>
  <si>
    <t xml:space="preserve"> Updating National Biodiversity Strategy</t>
  </si>
  <si>
    <t>4686 –</t>
  </si>
  <si>
    <t xml:space="preserve"> Community-based Adaptation in Afforestation/Reforestation</t>
  </si>
  <si>
    <t>4700 –</t>
  </si>
  <si>
    <t>Forestation (69%),</t>
  </si>
  <si>
    <t>Drought/Salinity Adaptation (66%)</t>
  </si>
  <si>
    <t xml:space="preserve"> PCB Disposal / Power Sector</t>
  </si>
  <si>
    <t>4858 –</t>
  </si>
  <si>
    <t>Pollution Control (40%)</t>
  </si>
  <si>
    <t>Urban Transport Mitigation (69%),</t>
  </si>
  <si>
    <t>Urban Drainage (61%)</t>
  </si>
  <si>
    <t xml:space="preserve"> Greater Dhaka Sustainable Urban Transport</t>
  </si>
  <si>
    <t>4931 –</t>
  </si>
  <si>
    <t>Revision of NAP (UNCCD)</t>
  </si>
  <si>
    <t xml:space="preserve">5018 – </t>
  </si>
  <si>
    <t>Land Degradation (66%),</t>
  </si>
  <si>
    <t xml:space="preserve">5099 – </t>
  </si>
  <si>
    <t>Water &amp; Sanitation (46%)</t>
  </si>
  <si>
    <t xml:space="preserve"> National Capacity for Rio Conventions</t>
  </si>
  <si>
    <t>5106 –</t>
  </si>
  <si>
    <t>Climate Policy &amp; Reporting (100%</t>
  </si>
  <si>
    <t xml:space="preserve"> EbA in Drought-Prone Barind &amp; Haor</t>
  </si>
  <si>
    <t>5456 –</t>
  </si>
  <si>
    <t>Drought/Salinity Adaptation (66%),</t>
  </si>
  <si>
    <t>Climate-Resilient Fisheries &amp; Aquaculture</t>
  </si>
  <si>
    <t xml:space="preserve">5636 – </t>
  </si>
  <si>
    <t>Fisheries Adaptation (62%),</t>
  </si>
  <si>
    <t>National Land Use &amp; Degradation Profile (ENALULDEP)</t>
  </si>
  <si>
    <t xml:space="preserve">5823 – </t>
  </si>
  <si>
    <t>Integrating Climate Adaptation into Sustainable Development</t>
  </si>
  <si>
    <t xml:space="preserve">8036 – </t>
  </si>
  <si>
    <t>Pesticide Risk Reduction</t>
  </si>
  <si>
    <t xml:space="preserve">9076 – </t>
  </si>
  <si>
    <t xml:space="preserve"> – Ecosystem-based Management in ECAs (Halda &amp; Morjat Baor)</t>
  </si>
  <si>
    <t xml:space="preserve"> First Biennial Update Report (BUR1)</t>
  </si>
  <si>
    <t>9957 –</t>
  </si>
  <si>
    <t xml:space="preserve"> Monitoring Environmental Emissions (Paris Agreement)</t>
  </si>
  <si>
    <t>9986 –</t>
  </si>
  <si>
    <t xml:space="preserve"> Enabling Electric Vehicles Adoption</t>
  </si>
  <si>
    <t>10640 –</t>
  </si>
  <si>
    <t>10702 –</t>
  </si>
  <si>
    <t>Land Degradation (66%)</t>
  </si>
  <si>
    <t>Climate Policy Mainstreaming (77%)</t>
  </si>
  <si>
    <t>Biodiversity (69%)</t>
  </si>
  <si>
    <t>Building Climate-Resilient Livelihoods (BCRL)</t>
  </si>
  <si>
    <t>Energy Efficiency (69%),</t>
  </si>
  <si>
    <t>Community-Based Management of Tanguar Haor Wetland</t>
  </si>
  <si>
    <t>Transport Mitigation (28%)</t>
  </si>
  <si>
    <t>Livelihood Protection (52)</t>
  </si>
  <si>
    <t>Research &amp; Knowledge Mgmt (90)</t>
  </si>
  <si>
    <t>Third National Communication to UNFCCC</t>
  </si>
  <si>
    <t xml:space="preserve">5189 – </t>
  </si>
  <si>
    <t>Expanding PA System</t>
  </si>
  <si>
    <t>Biodiversity (40%),</t>
  </si>
  <si>
    <t>Institutional Capacity (66%)</t>
  </si>
  <si>
    <t>Core national adaptation mainstreaming.</t>
  </si>
  <si>
    <t>Green Climate Fund (GCF)</t>
  </si>
  <si>
    <t>5.00 (PKSF loan + in-kind)</t>
  </si>
  <si>
    <t xml:space="preserve">High Barind Tract – severe drought hotspot; 14 drought-prone upazilas </t>
  </si>
  <si>
    <t>Strong NAP &amp; SDG alignment: SDG 1, 2, 5, 6 &amp; 13; NAP focus on water security, salinity &amp; drought adaptation;</t>
  </si>
  <si>
    <t>5.04 (PKSF + NGO co-finance)</t>
  </si>
  <si>
    <t xml:space="preserve">Southwest Coastal Districts – Cyclone, Storm-Surge, Salinity &amp; Flood Zones </t>
  </si>
  <si>
    <r>
      <t>≈ 0 % — No dedicated WASH component. Minor reference to sanitary latrines and rainwater harvesting under resilient housing (sub-1 %)</t>
    </r>
    <r>
      <rPr>
        <b/>
        <sz val="11"/>
        <color theme="1"/>
        <rFont val="Arial"/>
        <family val="2"/>
      </rPr>
      <t xml:space="preserve"> </t>
    </r>
  </si>
  <si>
    <t>Promoting Private Sector Investment in Energy-Saving Technologies in the Textile and Ready-Made Garment (RMG) Sector</t>
  </si>
  <si>
    <t>Urban / industrial corridors – energy-intensive and pollution-prone zones</t>
  </si>
  <si>
    <t>0 % — No dedicated WASH financing; minor co-benefits from factory wastewater management standards.</t>
  </si>
  <si>
    <t xml:space="preserve">≈ 215,000 RMG workers (≈ 80 % women). </t>
  </si>
  <si>
    <t>✔ Gender Action Plan includes: non-discrimination in employment/loans, gender-sensitive facilities in factories (separate washrooms, maternity facilities), equal training opportunities, support for women entrepreneurs. 
✔ Requires sex-disaggregated reporting in workforce data.</t>
  </si>
  <si>
    <t>SDG 7 (Energy Efficiency), 9 (Industry), 12 (Responsible Production), 13 (Climate Action); Aligned with Bangladesh NDC &amp; Energy Efficiency Masterplan; Weak NAP and CFF link (due to limited adaptation).</t>
  </si>
  <si>
    <t>Concessional loan program to finance energy-efficient textile and RMG technologies (boilers, motors, EEC lighting, waste-heat recovery). Reduces GHG emissions by ≈ 550 kt CO₂ eq annually. Implements Gender Action Plan for female workers and entrepreneurs but no direct WASH or climate adaptation componen.</t>
  </si>
  <si>
    <t>3.64 (PKSF + NGO co-finance)</t>
  </si>
  <si>
    <t>2019–2023</t>
  </si>
  <si>
    <t>Northern floodplains – recurring flood and displacement hotspots</t>
  </si>
  <si>
    <t>8.00 (GoB: $7M cash, $1M in-kind)</t>
  </si>
  <si>
    <t>2018–2024</t>
  </si>
  <si>
    <t>Salinity intrusion, sea-level rise, cyclones, and water insecurity</t>
  </si>
  <si>
    <t>245,516 direct (50%+ women) and 473,713 indirect beneficiaries (total 719,229); focuses on women-led households and adolescent girls</t>
  </si>
  <si>
    <t>2015 – 2021</t>
  </si>
  <si>
    <t>Southwest &amp; coastal belt – cyclone, storm-surge, and urban flood zones</t>
  </si>
  <si>
    <t>≈ 134,000 direct and 10.4 million indirect beneficiaries through LGED networks.</t>
  </si>
  <si>
    <t>Strong NAP / BCCSAP alignment: infrastructure resilience, urban drainage, DRR. SDG 9, 11, 13 alignment.</t>
  </si>
  <si>
    <t>Nationwide coverage across rural and peri-urban areas; prioritizes low-income women-headed households using solid fuels.</t>
  </si>
  <si>
    <t>Strong SDG alignment: SDG 7 (clean energy), SDG 3 (health), SDG 5 (gender equality); supports NAP goals on health and DRR but lacks WASH or water infrastructure linkage.</t>
  </si>
  <si>
    <t>Green Climate Fund</t>
  </si>
  <si>
    <t>Livelihood protection in ecologically fragile zones52%</t>
  </si>
  <si>
    <t>Adaptation against floods (70);</t>
  </si>
  <si>
    <t>Risk management against loss of income/property (77)</t>
  </si>
  <si>
    <t>60%(High)</t>
  </si>
  <si>
    <t>Cyclone/storm-surge resilience (72);</t>
  </si>
  <si>
    <t>Livelihood protection of vulnerable groups (38)</t>
  </si>
  <si>
    <t>45% (Moderate High)</t>
  </si>
  <si>
    <t>Energy efficiency (69);</t>
  </si>
  <si>
    <t>Energy &amp; water efficiency in built environment (48)</t>
  </si>
  <si>
    <t>41% (Moderate High)</t>
  </si>
  <si>
    <t>Renewable energy development (81)</t>
  </si>
  <si>
    <t>Energy efficiency (69)</t>
  </si>
  <si>
    <t>59% (High)</t>
  </si>
  <si>
    <t>Repair of cyclone shelters (80);</t>
  </si>
  <si>
    <t>torm-surge adaptation (72);</t>
  </si>
  <si>
    <t>Urban drainage (61)</t>
  </si>
  <si>
    <t>66% (High)</t>
  </si>
  <si>
    <t>Adaptation against drought, salinity, submergence and heat 66%</t>
  </si>
  <si>
    <t>Livelihood protection in ecologically fragile and climate-vulnerable zones (52)</t>
  </si>
  <si>
    <t>57% (High)</t>
  </si>
  <si>
    <r>
      <t>57 % – High.</t>
    </r>
    <r>
      <rPr>
        <sz val="11"/>
        <color theme="1"/>
        <rFont val="Aptos"/>
        <family val="2"/>
      </rPr>
      <t xml:space="preserve"> Strong WASH &amp; MAR systems in drought hotspots; explicit adaptation framing though not 100 % WASH-direct.</t>
    </r>
  </si>
  <si>
    <r>
      <t>45 % – Moderate-High.</t>
    </r>
    <r>
      <rPr>
        <sz val="11"/>
        <color theme="1"/>
        <rFont val="Aptos"/>
        <family val="2"/>
      </rPr>
      <t xml:space="preserve"> Gender-transformative housing &amp; livelihood support but limited explicit climate/WASH investments.</t>
    </r>
  </si>
  <si>
    <r>
      <t>41 % – Moderate-High.</t>
    </r>
    <r>
      <rPr>
        <sz val="11"/>
        <color theme="1"/>
        <rFont val="Aptos"/>
        <family val="2"/>
      </rPr>
      <t xml:space="preserve"> Pure mitigation; gender-sensitive workplaces but minimal adaptation or pro-poor targeting.</t>
    </r>
  </si>
  <si>
    <r>
      <t>60 % – High.</t>
    </r>
    <r>
      <rPr>
        <sz val="11"/>
        <color theme="1"/>
        <rFont val="Aptos"/>
        <family val="2"/>
      </rPr>
      <t xml:space="preserve"> Flood-resilient WASH &amp; housing; 11.5 % budget in WASH; strong local ownership.</t>
    </r>
  </si>
  <si>
    <r>
      <t>59 % – Moderate-High.</t>
    </r>
    <r>
      <rPr>
        <sz val="11"/>
        <color theme="1"/>
        <rFont val="Aptos"/>
        <family val="2"/>
      </rPr>
      <t xml:space="preserve"> Mitigation-centric; gender &amp; health co-benefits substantial but weak adaptation/WASH link.</t>
    </r>
  </si>
  <si>
    <r>
      <t>72 % – High.</t>
    </r>
    <r>
      <rPr>
        <sz val="11"/>
        <color theme="1"/>
        <rFont val="Aptos"/>
        <family val="2"/>
      </rPr>
      <t xml:space="preserve"> Core adaptation: salinity-proof water systems, women-led WASH &amp; livelihood resilience (42 % WASH budget).</t>
    </r>
  </si>
  <si>
    <r>
      <t>66 % – High.</t>
    </r>
    <r>
      <rPr>
        <sz val="11"/>
        <color theme="1"/>
        <rFont val="Aptos"/>
        <family val="2"/>
      </rPr>
      <t xml:space="preserve"> Strong structural climate resilience (roads, drainage, shelters) though moderate equity participation.</t>
    </r>
  </si>
  <si>
    <r>
      <rPr>
        <b/>
        <sz val="10"/>
        <rFont val="Arial"/>
        <family val="2"/>
      </rPr>
      <t xml:space="preserve">Strong </t>
    </r>
    <r>
      <rPr>
        <sz val="10"/>
        <rFont val="Arial"/>
        <family val="2"/>
      </rPr>
      <t xml:space="preserve">
Targets remote, climate-vulnerable hill tracts; ensures 50% women participation; uses gender- and ethnicity-disaggregated data; mandates inclusive Local Adaptation Plans (LAPAs) with tribal communities.</t>
    </r>
  </si>
  <si>
    <r>
      <rPr>
        <b/>
        <sz val="10"/>
        <color theme="1"/>
        <rFont val="Arial"/>
        <family val="2"/>
      </rPr>
      <t>53% – Moderate–High</t>
    </r>
    <r>
      <rPr>
        <sz val="10"/>
        <color theme="1"/>
        <rFont val="Arial"/>
        <family val="2"/>
      </rPr>
      <t xml:space="preserve"> relevance
Provides gender-sensitive flood and drought early warning systems and transboundary hydrological data but delivers adaptation benefits indirectly rather than through direct WASH services</t>
    </r>
  </si>
  <si>
    <r>
      <rPr>
        <b/>
        <sz val="10"/>
        <rFont val="Arial"/>
        <family val="2"/>
      </rPr>
      <t>Partial</t>
    </r>
    <r>
      <rPr>
        <sz val="10"/>
        <rFont val="Arial"/>
        <family val="2"/>
      </rPr>
      <t xml:space="preserve">
M&amp;E system is gender-disaggregated and gender training is built into hydrology outreach, but the project is less focused on direct service delivery to poor/marginalized households.</t>
    </r>
  </si>
  <si>
    <r>
      <rPr>
        <b/>
        <sz val="10"/>
        <rFont val="Arial"/>
        <family val="2"/>
      </rPr>
      <t>Strong</t>
    </r>
    <r>
      <rPr>
        <sz val="10"/>
        <rFont val="Arial"/>
        <family val="2"/>
      </rPr>
      <t xml:space="preserve">
Explicitly engages poor char-dwelling communities with 50% women participation targets, grants for women-led groups, and localized grievance systems for marginalized voices.</t>
    </r>
  </si>
  <si>
    <r>
      <rPr>
        <b/>
        <sz val="10"/>
        <rFont val="Arial"/>
        <family val="2"/>
      </rPr>
      <t>Strong</t>
    </r>
    <r>
      <rPr>
        <sz val="10"/>
        <rFont val="Arial"/>
        <family val="2"/>
      </rPr>
      <t xml:space="preserve">
Pro-poor targeting in coastal salinity zones, 50% women beneficiaries, gender-balanced procurement committees, local-level grievance redress — robust across design, data, and delivery.</t>
    </r>
  </si>
  <si>
    <r>
      <rPr>
        <b/>
        <sz val="9"/>
        <color rgb="FF000000"/>
        <rFont val="Arial"/>
        <family val="2"/>
      </rPr>
      <t>Retained-</t>
    </r>
    <r>
      <rPr>
        <sz val="9"/>
        <color rgb="FF000000"/>
        <rFont val="Arial"/>
        <family val="2"/>
      </rPr>
      <t xml:space="preserve"> Health and environmental co-benefits only.</t>
    </r>
  </si>
  <si>
    <t>65% – Mangrove restoration and coastal forest management strengthen natural protection against cyclones, storm surges, and salinity; direct ecosystem-based adaptation.</t>
  </si>
  <si>
    <t>55% – Improves wetland and aquatic habitat health, indirectly enhancing water quality and resilience; adaptation is a co-benefit, not a primary objective.</t>
  </si>
  <si>
    <t>100% – Fully climate policy-focused; supports GHG inventory, mitigation and adaptation reporting under UNFCCC.</t>
  </si>
  <si>
    <t>65% – Wetland restoration and flood protection reduce climate-induced risks; strong ecosystem co-benefits though adaptation not explicit.</t>
  </si>
  <si>
    <t>40% – Policy-level biodiversity framework; minimal climate content beyond indirect resilience mainstreaming.</t>
  </si>
  <si>
    <t>80% – Expands renewable energy access, directly mitigating emissions and supporting low-carbon development.</t>
  </si>
  <si>
    <t>40% – Focus on hazardous chemical reduction; minimal direct climate impact.</t>
  </si>
  <si>
    <t>75% – Enhances energy efficiency, cutting CO₂ and black carbon emissions; clear mitigation alignment.</t>
  </si>
  <si>
    <t>100% – Core national adaptation strategy; directly identifies and prioritizes adaptation investments.</t>
  </si>
  <si>
    <t>50% – Builds institutional capacity for global environmental conventions; moderate climate relevance.</t>
  </si>
  <si>
    <t>90% – Coastal plantation and mangrove barriers provide strong adaptation to storm surge, salinity, and sea-level rise.</t>
  </si>
  <si>
    <t>70% – Promotes sustainable land and soil management; high adaptation relevance to drought and erosion.</t>
  </si>
  <si>
    <t>20% – Primarily focused on biosafety and GMO management; negligible climate relevance.</t>
  </si>
  <si>
    <t>85% – Major mitigation project supporting renewable energy generation and carbon reduction.</t>
  </si>
  <si>
    <t>30% – Institutional biodiversity update with limited direct adaptation or mitigation content.</t>
  </si>
  <si>
    <t>85% – Combines community forestry with drought and salinity resilience; explicit climate adaptation design.</t>
  </si>
  <si>
    <t>40% – Improves hazardous waste management; low climate linkage but environmental benefits.</t>
  </si>
  <si>
    <t>70% – Promotes low-emission transport and improved urban drainage; strong mitigation and moderate adaptation.</t>
  </si>
  <si>
    <t>60% – Revises national land and drought strategies; adaptation mainly through institutional alignment.</t>
  </si>
  <si>
    <t>65% – Strengthens wetland conservation and ecosystem-based adaptation; moderate-high climate relevance.</t>
  </si>
  <si>
    <t>55% – Institutional strengthening for climate, biodiversity, and desertification; moderate relevance.</t>
  </si>
  <si>
    <t>100% – Dedicated UNFCCC reporting project; entirely climate-oriented.</t>
  </si>
  <si>
    <t>90% – Direct ecosystem-based adaptation; integrates WASH (ponds, canals, recharge wells) and livelihood protection.</t>
  </si>
  <si>
    <t>80% – Strengthens resilience of fisheries and aquaculture to salinity and floods; direct adaptation focus.</t>
  </si>
  <si>
    <t>65% – Builds sustainable land management database; integrates drought and erosion adaptation measures.</t>
  </si>
  <si>
    <t>100% – Core adaptation mainstreaming initiative; aligns all national plans with NAP and BCCSAP.</t>
  </si>
  <si>
    <t>40% – Environmental health project reducing pollutants; limited climate co-benefits.</t>
  </si>
  <si>
    <t>85% – Strong mitigation project promoting urban energy efficiency and low-carbon infrastructure.</t>
  </si>
  <si>
    <t>70% – Ecosystem and water-quality restoration; adaptation co-benefits via pollution and runoff reduction.</t>
  </si>
  <si>
    <t>100% – Fully climate transparency and MRV reporting under UNFCCC.</t>
  </si>
  <si>
    <t>100% – Strengthens MRV and transparency systems under the Paris Agreement; fully climate-focused.</t>
  </si>
  <si>
    <t>90% – Promotes adaptive water management and resilient livelihoods in drought and flood-prone zones.</t>
  </si>
  <si>
    <t>80% – Mitigation through decarbonizing transport; reduces urban emissions and fuel dependency.</t>
  </si>
  <si>
    <t>65% – Wetland restoration, pollution control, and water-quality improvement provide indirect adaptation benefits.</t>
  </si>
  <si>
    <t>55% (Moderate High)</t>
  </si>
  <si>
    <r>
      <t xml:space="preserve">CFF weighted reciprocal rank method: </t>
    </r>
    <r>
      <rPr>
        <sz val="12"/>
        <color theme="1"/>
        <rFont val="Arial"/>
        <family val="2"/>
      </rPr>
      <t>Weighting Criteria: Following the CFF, each project component was assigned a percentage weight of climate relevance,</t>
    </r>
  </si>
  <si>
    <t>Implementing Entities/ Ministry</t>
  </si>
  <si>
    <r>
      <rPr>
        <b/>
        <sz val="11"/>
        <color theme="1"/>
        <rFont val="Arial"/>
        <family val="2"/>
      </rPr>
      <t>65-70% (High)</t>
    </r>
    <r>
      <rPr>
        <sz val="11"/>
        <color theme="1"/>
        <rFont val="Arial"/>
        <family val="2"/>
      </rPr>
      <t xml:space="preserve"> Strong adaptation project addressing drought, salinity, and floods through climate-resilient WASH systems, solar pumping, and pro-poor targeting.</t>
    </r>
  </si>
  <si>
    <r>
      <rPr>
        <b/>
        <sz val="11"/>
        <color theme="1"/>
        <rFont val="Arial"/>
        <family val="2"/>
      </rPr>
      <t>25-30% (Moderate)</t>
    </r>
    <r>
      <rPr>
        <sz val="11"/>
        <color theme="1"/>
        <rFont val="Arial"/>
        <family val="2"/>
      </rPr>
      <t xml:space="preserve">
Preparatory and design-focused; climate risk assessments included but no direct adaptation infrastructure yet implemented.</t>
    </r>
  </si>
  <si>
    <r>
      <rPr>
        <b/>
        <sz val="11"/>
        <color theme="1"/>
        <rFont val="Arial"/>
        <family val="2"/>
      </rPr>
      <t xml:space="preserve">30-38% (Moderate)
</t>
    </r>
    <r>
      <rPr>
        <sz val="11"/>
        <color theme="1"/>
        <rFont val="Arial"/>
        <family val="2"/>
      </rPr>
      <t>Moderate adaptation co-benefits from improved drainage and FSM, but climate integration is indirect and uneven.</t>
    </r>
  </si>
  <si>
    <r>
      <rPr>
        <b/>
        <sz val="11"/>
        <color theme="1"/>
        <rFont val="Arial"/>
        <family val="2"/>
      </rPr>
      <t>45-50% (Moderate–High)</t>
    </r>
    <r>
      <rPr>
        <sz val="11"/>
        <color theme="1"/>
        <rFont val="Arial"/>
        <family val="2"/>
      </rPr>
      <t xml:space="preserve"> Urban sanitation upgrades reduce flood and disease risks; climate relevance moderate due to infrastructure-only focus.</t>
    </r>
  </si>
  <si>
    <r>
      <rPr>
        <b/>
        <sz val="11"/>
        <color theme="1"/>
        <rFont val="Arial"/>
        <family val="2"/>
      </rPr>
      <t>45-60% (Moderate–High</t>
    </r>
    <r>
      <rPr>
        <sz val="11"/>
        <color theme="1"/>
        <rFont val="Arial"/>
        <family val="2"/>
      </rPr>
      <t>)Climate-resilient sanitation and FSM designs included, with partial mainstreaming of adaptation in urban systems.</t>
    </r>
  </si>
  <si>
    <t>50-60% (Moderate–High)Promotes flood-resistant latrines and hygiene in rural climate-vulnerable areas; adaptation largely indirect via WASH improvements.</t>
  </si>
  <si>
    <t>45-55% (Moderate–High)Combines WASH and drainage upgrades to mitigate flood risks; adaptation moderate due to limited climate focus</t>
  </si>
  <si>
    <t>60-65% (High)Explicitly climate-focused; cyclone- and salinity-resilient WASH for host and refugee communities with strong gender and equity features.</t>
  </si>
  <si>
    <t>50-60% (Moderate–High)Ensures urban drought and water-security resilience through surface-water sourcing and flood-proof design.</t>
  </si>
  <si>
    <t>55-60% (Moderate–High)Climate-smart surface-water project reducing aquifer stress and enhancing drought/flood resilience in Dhaka.</t>
  </si>
  <si>
    <t>50-60% (Moderate–High)Strengthens drought resilience via Padma River source and sustainable urban water systems.</t>
  </si>
  <si>
    <t>40-45% (Moderate–High)Addresses cyclone and salinity risks in coastal zones but limited pro-poor targeting and weak climate integration.</t>
  </si>
  <si>
    <t>25-30% (Moderate)Builds institutional capacity and planning for WASH in drought- and salinity-prone areas; adaptation indirect.</t>
  </si>
  <si>
    <t>60-65% (High)Climate-resilient WASH and solid-waste systems for indigenous hill communities; integrates social inclusion and flood resilience.</t>
  </si>
  <si>
    <t>60-65% (High) High adaptation relevance with rainwater harvesting, saline-resistant sanitation, and climate-smart livelihoods in coastal areas.</t>
  </si>
  <si>
    <t>59-60% (High)Integrates watershed restoration, climate-smart agriculture, and resilient WASH for hill communities.</t>
  </si>
  <si>
    <t>30-35% (Moderate)Socially inclusive waste and sanitation project improving worker safety; climate benefits largely co-benefits in urban resilience.</t>
  </si>
  <si>
    <t>30-35% (Moderate)Enhances community WASH and drainage in flood-prone slums; moderate adaptation value via local resilience building.</t>
  </si>
  <si>
    <t>60-65% (High)Core climate adaptation project integrating flood/cyclone protection, resilient WASH, and local capacity building in coastal towns.</t>
  </si>
  <si>
    <t>45-55% (Moderate–High)Climate-resilient urban sanitation and drainage systems for flood-prone cities; partial adaptation mainstreaming.</t>
  </si>
  <si>
    <t>25-35% (Low–Moderate)Promotes pro-poor sanitation market systems; climate benefits indirect via durable and inclusive WASH services.</t>
  </si>
  <si>
    <r>
      <t xml:space="preserve">Upward: </t>
    </r>
    <r>
      <rPr>
        <sz val="9"/>
        <color rgb="FF000000"/>
        <rFont val="Arial"/>
        <family val="2"/>
      </rPr>
      <t>Explicit resilient designs: saline-proof water points, drought-resistant schemes, solar pumping. Strong equity targeting (poor HHs, women, schools). Under-tagged in ERD climate accounts → justified upward adjustment.</t>
    </r>
  </si>
  <si>
    <r>
      <t xml:space="preserve">Downward: </t>
    </r>
    <r>
      <rPr>
        <sz val="9"/>
        <color theme="1"/>
        <rFont val="Arial"/>
        <family val="2"/>
      </rPr>
      <t>Preparatory/feasibility project only; climate features (flood/cyclone risk planning) not yet built. Equity-blind (no slum or LIC component). CFF Step-2 adjustment applies as benefits are deferred to future phases.</t>
    </r>
  </si>
  <si>
    <r>
      <t xml:space="preserve">Downward: </t>
    </r>
    <r>
      <rPr>
        <sz val="9"/>
        <color rgb="FF000000"/>
        <rFont val="Arial"/>
        <family val="2"/>
      </rPr>
      <t>Resilience mostly incidental (better FSM, piped supply in smaller towns). Drainage improvements are demand-driven, not core design. Limited pro-poor targeting: slum dwellers largely excluded. Accountability is weak at Pourashava level.</t>
    </r>
  </si>
  <si>
    <r>
      <t xml:space="preserve">Downward: </t>
    </r>
    <r>
      <rPr>
        <sz val="9"/>
        <color rgb="FF000000"/>
        <rFont val="Arial"/>
        <family val="2"/>
      </rPr>
      <t>CWIS model integrates equity and FSM resilience, but O&amp;M and sustainability risks across 10 towns remain high. Climate integration is strong on paper but uneven in execution.</t>
    </r>
  </si>
  <si>
    <r>
      <t xml:space="preserve">Downward: </t>
    </r>
    <r>
      <rPr>
        <sz val="9"/>
        <color theme="1"/>
        <rFont val="Arial"/>
        <family val="2"/>
      </rPr>
      <t>Operates in 25 climate-vulnerable districts, pilots flood-resistant latrines and women-led SMEs. But climate is not the primary design goal (health/market focus), and the short cycle (2024–25) reduces long-term impact → Step-2 down-adjustment.</t>
    </r>
  </si>
  <si>
    <r>
      <t xml:space="preserve">Slight downward: </t>
    </r>
    <r>
      <rPr>
        <sz val="9"/>
        <color rgb="FF000000"/>
        <rFont val="Arial"/>
        <family val="2"/>
      </rPr>
      <t>Climate benefits (drainage, flood-resilient water supply) exist, but not systematically climate-proofed. Equity targeting inconsistent (poor wards not prioritized). O&amp;M sustainability risk for FSTPs → conservative adjustment.</t>
    </r>
  </si>
  <si>
    <r>
      <t xml:space="preserve">Upward: </t>
    </r>
    <r>
      <rPr>
        <sz val="9"/>
        <color theme="1"/>
        <rFont val="Arial"/>
        <family val="2"/>
      </rPr>
      <t>Explicitly adaptation-first: elevated latrines, saline-proof systems, solar water points. Strong equity (refugees + hosts, women, disabled groups). Small but highly climate-relevant → score upgraded.</t>
    </r>
  </si>
  <si>
    <r>
      <t xml:space="preserve">Upward: </t>
    </r>
    <r>
      <rPr>
        <sz val="9"/>
        <color rgb="FF000000"/>
        <rFont val="Arial"/>
        <family val="2"/>
      </rPr>
      <t>Explicitly adaptation-first: elevated latrines, saline-proof systems, solar water points. Strong equity (refugees + hosts, women, disabled groups). Small but highly climate-relevant → score upgraded.</t>
    </r>
  </si>
  <si>
    <r>
      <t xml:space="preserve">Slight downward: </t>
    </r>
    <r>
      <rPr>
        <sz val="9"/>
        <color theme="1"/>
        <rFont val="Arial"/>
        <family val="2"/>
      </rPr>
      <t>Climate framing explicit (Meghna-fed WTP, drought/flood-secure intake). Debt-heavy and vulnerable to river flow variability. Pro-poor equity is missing, but adaptation core → retain upper bound.</t>
    </r>
  </si>
  <si>
    <r>
      <t xml:space="preserve">Downward: </t>
    </r>
    <r>
      <rPr>
        <sz val="9"/>
        <color rgb="FF000000"/>
        <rFont val="Arial"/>
        <family val="2"/>
      </rPr>
      <t>Direct drought adaptation (Padma River source). Strong technical resilience (dry-season low-flow design). But bulk water focus excludes slums; Padma flow risks → conservative adjustment.</t>
    </r>
  </si>
  <si>
    <r>
      <t xml:space="preserve">Downward: </t>
    </r>
    <r>
      <rPr>
        <sz val="9"/>
        <color theme="1"/>
        <rFont val="Arial"/>
        <family val="2"/>
      </rPr>
      <t>Serves cyclone-prone coastal area, but industrial allocation dominates. Weak community participation, inconsistent climate-proofing. Implementation delays noted. Step-2 downgrade.</t>
    </r>
  </si>
  <si>
    <r>
      <t>Downward: T</t>
    </r>
    <r>
      <rPr>
        <sz val="9"/>
        <color rgb="FF000000"/>
        <rFont val="Arial"/>
        <family val="2"/>
      </rPr>
      <t>A improves MIS, O&amp;M, planning in climate-vulnerable zones (salinity, drought). But benefits are indirect, no hardware. Climate not a core objective → Step-2 adjustment.</t>
    </r>
  </si>
  <si>
    <r>
      <t xml:space="preserve">Retained: </t>
    </r>
    <r>
      <rPr>
        <sz val="9"/>
        <color theme="1"/>
        <rFont val="Arial"/>
        <family val="2"/>
      </rPr>
      <t>Strong equity (indigenous HHs, women), explicit resilience in design, participatory approach. Risks in debt and local O&amp;M, but adaptation is central → retain high classification.</t>
    </r>
  </si>
  <si>
    <r>
      <t>Upward:</t>
    </r>
    <r>
      <rPr>
        <sz val="9"/>
        <color rgb="FF000000"/>
        <rFont val="Arial"/>
        <family val="2"/>
      </rPr>
      <t xml:space="preserve"> Adaptation-first in saline-prone coastal Khulna/Satkhira (rainwater harvesting, resilient sanitation). Strong gender and poverty lens. Grant-funded, high resilience profile → upgraded.</t>
    </r>
  </si>
  <si>
    <r>
      <t xml:space="preserve">Retained: </t>
    </r>
    <r>
      <rPr>
        <sz val="9"/>
        <color theme="1"/>
        <rFont val="Arial"/>
        <family val="2"/>
      </rPr>
      <t>multi-sector adaptation: watershed reforestation, climate-smart crops, WASH, climate-resilient roads. Equity orientation strong (indigenous, poor farmers). Risks: debt load, complex coordination → retain ~60%.</t>
    </r>
  </si>
  <si>
    <r>
      <t xml:space="preserve">Downward: </t>
    </r>
    <r>
      <rPr>
        <sz val="9"/>
        <color rgb="FF000000"/>
        <rFont val="Arial"/>
        <family val="2"/>
      </rPr>
      <t>Strong equity for sanitation workers (Dalit, women). Climate benefit indirect (safer working conditions, resilient services). Limited scale and post-grant sustainability → downgrade.</t>
    </r>
  </si>
  <si>
    <r>
      <t xml:space="preserve">Downward: </t>
    </r>
    <r>
      <rPr>
        <sz val="9"/>
        <color theme="1"/>
        <rFont val="Arial"/>
        <family val="2"/>
      </rPr>
      <t>Strong +citizen-led participation, flood-proof communal toilets. But very small pilot, short duration, climate relevance modest → Step-2 down-adjustment.</t>
    </r>
  </si>
  <si>
    <r>
      <t xml:space="preserve">Downward: </t>
    </r>
    <r>
      <rPr>
        <sz val="9"/>
        <color theme="1"/>
        <rFont val="Arial"/>
        <family val="2"/>
      </rPr>
      <t>Resilient sewerage and drainage in flood-prone Dhaka/Gazipur/Narayanganj. Equity targeting LICs. But climate considered co-benefit, not central; high O&amp;M costs and affordability barriers → conservative adjustment.</t>
    </r>
  </si>
  <si>
    <r>
      <t xml:space="preserve">Downward: </t>
    </r>
    <r>
      <rPr>
        <sz val="9"/>
        <color rgb="FF000000"/>
        <rFont val="Arial"/>
        <family val="2"/>
      </rPr>
      <t>Strong equity (60% poor HHs, gender-focused). But climate benefits indirect (market systems for durable sanitation). Sustainability depends on subsidies and private sector uptake → Step-2 adjustment.</t>
    </r>
  </si>
  <si>
    <r>
      <rPr>
        <b/>
        <sz val="9"/>
        <color theme="1"/>
        <rFont val="Arial"/>
        <family val="2"/>
      </rPr>
      <t xml:space="preserve">Downward: </t>
    </r>
    <r>
      <rPr>
        <sz val="9"/>
        <color theme="1"/>
        <rFont val="Arial"/>
        <family val="2"/>
      </rPr>
      <t>Gender-responsive, but service co-benefits indirect.</t>
    </r>
  </si>
  <si>
    <r>
      <rPr>
        <b/>
        <sz val="9"/>
        <color rgb="FF000000"/>
        <rFont val="Arial"/>
        <family val="2"/>
      </rPr>
      <t>Retained: P</t>
    </r>
    <r>
      <rPr>
        <sz val="9"/>
        <color rgb="FF000000"/>
        <rFont val="Arial"/>
        <family val="2"/>
      </rPr>
      <t>ure UNFCCC reporting mandate.</t>
    </r>
  </si>
  <si>
    <r>
      <rPr>
        <b/>
        <sz val="9"/>
        <color theme="1"/>
        <rFont val="Arial"/>
        <family val="2"/>
      </rPr>
      <t xml:space="preserve">Upwad: </t>
    </r>
    <r>
      <rPr>
        <sz val="9"/>
        <color theme="1"/>
        <rFont val="Arial"/>
        <family val="2"/>
      </rPr>
      <t>Core climate-WASH innovation in salinity zones; solar RO tech, strong pro-poor lens, gender-targeted implementation.</t>
    </r>
  </si>
  <si>
    <r>
      <rPr>
        <b/>
        <sz val="9"/>
        <color rgb="FF000000"/>
        <rFont val="Arial"/>
        <family val="2"/>
      </rPr>
      <t xml:space="preserve">Downward: </t>
    </r>
    <r>
      <rPr>
        <sz val="9"/>
        <color rgb="FF000000"/>
        <rFont val="Arial"/>
        <family val="2"/>
      </rPr>
      <t>Mainly biodiversity policy with limited climate integration.</t>
    </r>
  </si>
  <si>
    <r>
      <rPr>
        <b/>
        <sz val="9"/>
        <color theme="1"/>
        <rFont val="Arial"/>
        <family val="2"/>
      </rPr>
      <t xml:space="preserve">Retained: </t>
    </r>
    <r>
      <rPr>
        <sz val="9"/>
        <color theme="1"/>
        <rFont val="Arial"/>
        <family val="2"/>
      </rPr>
      <t>Direct mitigation benefits through solar deployment.</t>
    </r>
  </si>
  <si>
    <r>
      <rPr>
        <b/>
        <sz val="9"/>
        <color rgb="FF000000"/>
        <rFont val="Arial"/>
        <family val="2"/>
      </rPr>
      <t xml:space="preserve">Retained: </t>
    </r>
    <r>
      <rPr>
        <sz val="9"/>
        <color rgb="FF000000"/>
        <rFont val="Arial"/>
        <family val="2"/>
      </rPr>
      <t>Chemical management with minor climate co-benefits.</t>
    </r>
  </si>
  <si>
    <r>
      <rPr>
        <b/>
        <sz val="9"/>
        <color theme="1"/>
        <rFont val="Arial"/>
        <family val="2"/>
      </rPr>
      <t xml:space="preserve">Upward: </t>
    </r>
    <r>
      <rPr>
        <sz val="9"/>
        <color theme="1"/>
        <rFont val="Arial"/>
        <family val="2"/>
      </rPr>
      <t>Strong GHG mitigation component.</t>
    </r>
  </si>
  <si>
    <r>
      <rPr>
        <b/>
        <sz val="9"/>
        <color rgb="FF000000"/>
        <rFont val="Arial"/>
        <family val="2"/>
      </rPr>
      <t xml:space="preserve">Retained: </t>
    </r>
    <r>
      <rPr>
        <sz val="9"/>
        <color rgb="FF000000"/>
        <rFont val="Arial"/>
        <family val="2"/>
      </rPr>
      <t>National adaptation blueprint.</t>
    </r>
  </si>
  <si>
    <r>
      <rPr>
        <b/>
        <sz val="9"/>
        <color theme="1"/>
        <rFont val="Arial"/>
        <family val="2"/>
      </rPr>
      <t xml:space="preserve">Downward: </t>
    </r>
    <r>
      <rPr>
        <sz val="9"/>
        <color theme="1"/>
        <rFont val="Arial"/>
        <family val="2"/>
      </rPr>
      <t>Cross-Rio capacity; partial climate scope.</t>
    </r>
  </si>
  <si>
    <r>
      <rPr>
        <b/>
        <sz val="9"/>
        <color rgb="FF000000"/>
        <rFont val="Arial"/>
        <family val="2"/>
      </rPr>
      <t xml:space="preserve">Upward: </t>
    </r>
    <r>
      <rPr>
        <sz val="9"/>
        <color rgb="FF000000"/>
        <rFont val="Arial"/>
        <family val="2"/>
      </rPr>
      <t>Direct coastal defence &amp; livelihood resilience.</t>
    </r>
  </si>
  <si>
    <r>
      <rPr>
        <b/>
        <sz val="9"/>
        <color rgb="FF000000"/>
        <rFont val="Arial"/>
        <family val="2"/>
      </rPr>
      <t xml:space="preserve">Downward: </t>
    </r>
    <r>
      <rPr>
        <sz val="9"/>
        <color rgb="FF000000"/>
        <rFont val="Arial"/>
        <family val="2"/>
      </rPr>
      <t>Biosafety rules not climate-linked.</t>
    </r>
  </si>
  <si>
    <r>
      <rPr>
        <b/>
        <sz val="9"/>
        <color theme="1"/>
        <rFont val="Arial"/>
        <family val="2"/>
      </rPr>
      <t xml:space="preserve">Upward: </t>
    </r>
    <r>
      <rPr>
        <sz val="9"/>
        <color theme="1"/>
        <rFont val="Arial"/>
        <family val="2"/>
      </rPr>
      <t>Full-scale low-carbon transition project.</t>
    </r>
  </si>
  <si>
    <r>
      <rPr>
        <b/>
        <sz val="9"/>
        <color theme="1"/>
        <rFont val="Arial"/>
        <family val="2"/>
      </rPr>
      <t xml:space="preserve">Upward: </t>
    </r>
    <r>
      <rPr>
        <sz val="9"/>
        <color theme="1"/>
        <rFont val="Arial"/>
        <family val="2"/>
      </rPr>
      <t>Soil &amp; water conservation in drought zones.</t>
    </r>
  </si>
  <si>
    <r>
      <rPr>
        <b/>
        <sz val="9"/>
        <color rgb="FF000000"/>
        <rFont val="Arial"/>
        <family val="2"/>
      </rPr>
      <t xml:space="preserve">Downward: </t>
    </r>
    <r>
      <rPr>
        <sz val="9"/>
        <color rgb="FF000000"/>
        <rFont val="Arial"/>
        <family val="2"/>
      </rPr>
      <t>Policy update only; climate ancillary.</t>
    </r>
  </si>
  <si>
    <r>
      <rPr>
        <b/>
        <sz val="9"/>
        <color theme="1"/>
        <rFont val="Arial"/>
        <family val="2"/>
      </rPr>
      <t>Upward: A</t>
    </r>
    <r>
      <rPr>
        <sz val="9"/>
        <color theme="1"/>
        <rFont val="Arial"/>
        <family val="2"/>
      </rPr>
      <t>daptation-integrated reforestation model.</t>
    </r>
  </si>
  <si>
    <r>
      <rPr>
        <b/>
        <sz val="9"/>
        <color rgb="FF000000"/>
        <rFont val="Arial"/>
        <family val="2"/>
      </rPr>
      <t xml:space="preserve">Retained: </t>
    </r>
    <r>
      <rPr>
        <sz val="9"/>
        <color rgb="FF000000"/>
        <rFont val="Arial"/>
        <family val="2"/>
      </rPr>
      <t>Hazardous waste management; climate incidental.</t>
    </r>
  </si>
  <si>
    <r>
      <rPr>
        <b/>
        <sz val="9"/>
        <color rgb="FF000000"/>
        <rFont val="Arial"/>
        <family val="2"/>
      </rPr>
      <t xml:space="preserve">Retained: </t>
    </r>
    <r>
      <rPr>
        <sz val="9"/>
        <color rgb="FF000000"/>
        <rFont val="Arial"/>
        <family val="2"/>
      </rPr>
      <t>Transport mitigation plus flood resilience.</t>
    </r>
  </si>
  <si>
    <r>
      <rPr>
        <b/>
        <sz val="9"/>
        <color theme="1"/>
        <rFont val="Arial"/>
        <family val="2"/>
      </rPr>
      <t xml:space="preserve">Downward: </t>
    </r>
    <r>
      <rPr>
        <sz val="9"/>
        <color theme="1"/>
        <rFont val="Arial"/>
        <family val="2"/>
      </rPr>
      <t>Policy revision; indirect impact.</t>
    </r>
  </si>
  <si>
    <r>
      <rPr>
        <b/>
        <sz val="9"/>
        <color rgb="FF000000"/>
        <rFont val="Arial"/>
        <family val="2"/>
      </rPr>
      <t xml:space="preserve">Upward: </t>
    </r>
    <r>
      <rPr>
        <sz val="9"/>
        <color rgb="FF000000"/>
        <rFont val="Arial"/>
        <family val="2"/>
      </rPr>
      <t>Wetland restoration with clear adaptation benefits.</t>
    </r>
  </si>
  <si>
    <r>
      <rPr>
        <b/>
        <sz val="9"/>
        <color rgb="FF000000"/>
        <rFont val="Arial"/>
        <family val="2"/>
      </rPr>
      <t xml:space="preserve">Downward: </t>
    </r>
    <r>
      <rPr>
        <sz val="9"/>
        <color rgb="FF000000"/>
        <rFont val="Arial"/>
        <family val="2"/>
      </rPr>
      <t>Partial climate scope only.</t>
    </r>
  </si>
  <si>
    <r>
      <rPr>
        <b/>
        <sz val="9"/>
        <color rgb="FF000000"/>
        <rFont val="Arial"/>
        <family val="2"/>
      </rPr>
      <t xml:space="preserve">Retained: </t>
    </r>
    <r>
      <rPr>
        <sz val="9"/>
        <color rgb="FF000000"/>
        <rFont val="Arial"/>
        <family val="2"/>
      </rPr>
      <t>Full UNFCCC communication.</t>
    </r>
  </si>
  <si>
    <r>
      <rPr>
        <b/>
        <sz val="9"/>
        <color rgb="FF000000"/>
        <rFont val="Arial"/>
        <family val="2"/>
      </rPr>
      <t xml:space="preserve">Upward: </t>
    </r>
    <r>
      <rPr>
        <sz val="9"/>
        <color rgb="FF000000"/>
        <rFont val="Arial"/>
        <family val="2"/>
      </rPr>
      <t>Explicit EbA and WASH integration.</t>
    </r>
  </si>
  <si>
    <r>
      <rPr>
        <b/>
        <sz val="9"/>
        <color theme="1"/>
        <rFont val="Arial"/>
        <family val="2"/>
      </rPr>
      <t xml:space="preserve">Upward: </t>
    </r>
    <r>
      <rPr>
        <sz val="9"/>
        <color theme="1"/>
        <rFont val="Arial"/>
        <family val="2"/>
      </rPr>
      <t>Direct climate-resilient livelihoods.</t>
    </r>
  </si>
  <si>
    <r>
      <rPr>
        <b/>
        <sz val="9"/>
        <color rgb="FF000000"/>
        <rFont val="Arial"/>
        <family val="2"/>
      </rPr>
      <t xml:space="preserve">Retained: </t>
    </r>
    <r>
      <rPr>
        <sz val="9"/>
        <color rgb="FF000000"/>
        <rFont val="Arial"/>
        <family val="2"/>
      </rPr>
      <t>Integrates SLM into policy frameworks.</t>
    </r>
  </si>
  <si>
    <r>
      <rPr>
        <b/>
        <sz val="9"/>
        <color theme="1"/>
        <rFont val="Arial"/>
        <family val="2"/>
      </rPr>
      <t xml:space="preserve">Upward: </t>
    </r>
    <r>
      <rPr>
        <sz val="9"/>
        <color theme="1"/>
        <rFont val="Arial"/>
        <family val="2"/>
      </rPr>
      <t>High urban mitigation potential.</t>
    </r>
  </si>
  <si>
    <r>
      <rPr>
        <b/>
        <sz val="9"/>
        <color rgb="FF000000"/>
        <rFont val="Arial"/>
        <family val="2"/>
      </rPr>
      <t xml:space="preserve">Upward: </t>
    </r>
    <r>
      <rPr>
        <sz val="9"/>
        <color rgb="FF000000"/>
        <rFont val="Arial"/>
        <family val="2"/>
      </rPr>
      <t>Strong ecosystem restoration and water quality focus.</t>
    </r>
  </si>
  <si>
    <r>
      <rPr>
        <b/>
        <sz val="9"/>
        <color theme="1"/>
        <rFont val="Arial"/>
        <family val="2"/>
      </rPr>
      <t xml:space="preserve">Retained: </t>
    </r>
    <r>
      <rPr>
        <sz val="9"/>
        <color theme="1"/>
        <rFont val="Arial"/>
        <family val="2"/>
      </rPr>
      <t>Climate reporting mandate.J68</t>
    </r>
  </si>
  <si>
    <r>
      <rPr>
        <b/>
        <sz val="9"/>
        <color rgb="FF000000"/>
        <rFont val="Arial"/>
        <family val="2"/>
      </rPr>
      <t xml:space="preserve">Upward: </t>
    </r>
    <r>
      <rPr>
        <sz val="9"/>
        <color rgb="FF000000"/>
        <rFont val="Arial"/>
        <family val="2"/>
      </rPr>
      <t>Direct Paris Agreement transparency support.</t>
    </r>
  </si>
  <si>
    <r>
      <rPr>
        <b/>
        <sz val="9"/>
        <color theme="1"/>
        <rFont val="Arial"/>
        <family val="2"/>
      </rPr>
      <t xml:space="preserve">Upward: </t>
    </r>
    <r>
      <rPr>
        <sz val="9"/>
        <color theme="1"/>
        <rFont val="Arial"/>
        <family val="2"/>
      </rPr>
      <t>Strong community adaptation and water harvesting.</t>
    </r>
  </si>
  <si>
    <r>
      <rPr>
        <b/>
        <sz val="9"/>
        <color rgb="FF000000"/>
        <rFont val="Arial"/>
        <family val="2"/>
      </rPr>
      <t xml:space="preserve">Upward: </t>
    </r>
    <r>
      <rPr>
        <sz val="9"/>
        <color rgb="FF000000"/>
        <rFont val="Arial"/>
        <family val="2"/>
      </rPr>
      <t>Direct mitigation in transport sector.</t>
    </r>
  </si>
  <si>
    <r>
      <rPr>
        <b/>
        <sz val="9"/>
        <color theme="1"/>
        <rFont val="Arial"/>
        <family val="2"/>
      </rPr>
      <t xml:space="preserve">Upward: </t>
    </r>
    <r>
      <rPr>
        <sz val="9"/>
        <color theme="1"/>
        <rFont val="Arial"/>
        <family val="2"/>
      </rPr>
      <t>Wetland rehab &amp; water quality improvements.</t>
    </r>
  </si>
  <si>
    <r>
      <rPr>
        <b/>
        <sz val="9"/>
        <color rgb="FF000000"/>
        <rFont val="Arial"/>
        <family val="2"/>
      </rPr>
      <t xml:space="preserve">Upward: </t>
    </r>
    <r>
      <rPr>
        <sz val="9"/>
        <color rgb="FF000000"/>
        <rFont val="Arial"/>
        <family val="2"/>
      </rPr>
      <t>Multi-criteria design; water resilience, local climate grants, equity-focused planning. Strong local targeting and indigenous systems.</t>
    </r>
  </si>
  <si>
    <r>
      <t xml:space="preserve">Upward: </t>
    </r>
    <r>
      <rPr>
        <sz val="9"/>
        <color rgb="FF000000"/>
        <rFont val="Arial"/>
        <family val="2"/>
      </rPr>
      <t>Multi-criteria design; water resilience, local climate grants, equity-focused planning. Strong local targeting and indigenous systems.</t>
    </r>
  </si>
  <si>
    <r>
      <t xml:space="preserve">Downward: </t>
    </r>
    <r>
      <rPr>
        <sz val="9"/>
        <color theme="1"/>
        <rFont val="Arial"/>
        <family val="2"/>
      </rPr>
      <t>Primarily info systems, limited direct resilience benefits. Gender-responsive, but service co-benefits indirect.</t>
    </r>
  </si>
  <si>
    <r>
      <t xml:space="preserve">Upward: </t>
    </r>
    <r>
      <rPr>
        <sz val="9"/>
        <color rgb="FF000000"/>
        <rFont val="Arial"/>
        <family val="2"/>
      </rPr>
      <t>Adaptation-first design; flood-resilient housing, water storage, womenâ€™s access; under-tagged in ADP pipelines.</t>
    </r>
  </si>
  <si>
    <r>
      <t xml:space="preserve">Upwad: </t>
    </r>
    <r>
      <rPr>
        <sz val="9"/>
        <color theme="1"/>
        <rFont val="Arial"/>
        <family val="2"/>
      </rPr>
      <t>Core climate-WASH innovation in salinity zones; solar RO tech, strong pro-poor lens, gender-targeted implementation.</t>
    </r>
  </si>
  <si>
    <r>
      <rPr>
        <b/>
        <sz val="9"/>
        <color rgb="FF000000"/>
        <rFont val="Arial"/>
        <family val="2"/>
      </rPr>
      <t>Downward</t>
    </r>
    <r>
      <rPr>
        <sz val="9"/>
        <color rgb="FF000000"/>
        <rFont val="Arial"/>
        <family val="2"/>
      </rPr>
      <t>: Slight downward adjustment since not all capex is WASH; climate integration strong but budget not fully climate-direct.</t>
    </r>
  </si>
  <si>
    <r>
      <t xml:space="preserve">Downward: </t>
    </r>
    <r>
      <rPr>
        <sz val="9"/>
        <color theme="1"/>
        <rFont val="Arial"/>
        <family val="2"/>
      </rPr>
      <t>limate benefits indirect; no dedicated WASH or hydro-climate infrastructure.</t>
    </r>
  </si>
  <si>
    <r>
      <t>Downward: P</t>
    </r>
    <r>
      <rPr>
        <sz val="9"/>
        <color rgb="FF000000"/>
        <rFont val="Arial"/>
        <family val="2"/>
      </rPr>
      <t>ure mitigation with limited equity or climate-vulnerability targeting.</t>
    </r>
  </si>
  <si>
    <r>
      <t>Downward: I</t>
    </r>
    <r>
      <rPr>
        <sz val="9"/>
        <color theme="1"/>
        <rFont val="Arial"/>
        <family val="2"/>
      </rPr>
      <t>nfrastructure strongly climate-proofed but community and equity elements modest.</t>
    </r>
  </si>
  <si>
    <r>
      <t>Upwad: A</t>
    </r>
    <r>
      <rPr>
        <sz val="9"/>
        <color theme="1"/>
        <rFont val="Arial"/>
        <family val="2"/>
      </rPr>
      <t>daptation is explicit core objective (salinity-resilient water systems &amp; women-led livelihoods). 42 % of budget in climate-resilient WASH; strong gender mainstreaming; project directly implements NAP adaptation actions.</t>
    </r>
  </si>
  <si>
    <r>
      <t>Downward: M</t>
    </r>
    <r>
      <rPr>
        <sz val="9"/>
        <color theme="1"/>
        <rFont val="Arial"/>
        <family val="2"/>
      </rPr>
      <t>itigation dominant; adaptation/WASH links minor though gender and health co-benefits strong.</t>
    </r>
  </si>
  <si>
    <r>
      <rPr>
        <b/>
        <sz val="9"/>
        <color theme="1"/>
        <rFont val="Arial"/>
        <family val="2"/>
      </rPr>
      <t>Downward:</t>
    </r>
    <r>
      <rPr>
        <sz val="9"/>
        <color theme="1"/>
        <rFont val="Arial"/>
        <family val="2"/>
      </rPr>
      <t xml:space="preserve"> Limited % budget in direct WASH; rest in housing and livelihood co-benefits.</t>
    </r>
  </si>
  <si>
    <r>
      <rPr>
        <b/>
        <sz val="10"/>
        <color theme="1"/>
        <rFont val="Arial"/>
        <family val="2"/>
      </rPr>
      <t>61% – High relevance</t>
    </r>
    <r>
      <rPr>
        <sz val="10"/>
        <color theme="1"/>
        <rFont val="Arial"/>
        <family val="2"/>
      </rPr>
      <t xml:space="preserve">
Targets climate-vulnerable chars and offshore islands with cyclone/flood-resilient housing, rainwater harvesting, and women’s participation—direct adaptation in high-risk zones.</t>
    </r>
  </si>
  <si>
    <r>
      <rPr>
        <b/>
        <sz val="10"/>
        <color theme="1"/>
        <rFont val="Arial"/>
        <family val="2"/>
      </rPr>
      <t>72% – High relevance</t>
    </r>
    <r>
      <rPr>
        <sz val="10"/>
        <color theme="1"/>
        <rFont val="Arial"/>
        <family val="2"/>
      </rPr>
      <t xml:space="preserve">
WASH-exclusive innovation project providing saline-proof drinking water systems in cyclone-prone coastal areas, with strong gender action plan and community-level grievance mechanisms.</t>
    </r>
  </si>
  <si>
    <r>
      <rPr>
        <b/>
        <sz val="10"/>
        <color theme="1"/>
        <rFont val="Arial"/>
        <family val="2"/>
      </rPr>
      <t>67% - High Relevance —</t>
    </r>
    <r>
      <rPr>
        <sz val="10"/>
        <color theme="1"/>
        <rFont val="Arial"/>
        <family val="2"/>
      </rPr>
      <t xml:space="preserve"> Ecosystem-based, decentralised, vulnerability-weighted grant systems targeting flash flood and landslide resilience, NAP-aligned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</si>
</sst>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9"/>
      <color theme="1"/>
      <name val="Times New Roman"/>
      <family val="1"/>
    </font>
    <font>
      <b/>
      <sz val="9"/>
      <color rgb="FF000000"/>
      <name val="Times New Roman"/>
      <family val="1"/>
    </font>
    <font>
      <sz val="11"/>
      <color rgb="FFFF0000"/>
      <name val="Arial"/>
      <family val="2"/>
    </font>
    <font>
      <sz val="14"/>
      <color rgb="FF0C110F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ptos"/>
      <family val="2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/>
      <top style="medium">
        <color rgb="FFBFBFBF"/>
      </top>
      <bottom/>
      <diagonal/>
    </border>
    <border>
      <left/>
      <right style="medium">
        <color rgb="FFBFBFBF"/>
      </right>
      <top style="medium">
        <color rgb="FFBFBFBF"/>
      </top>
      <bottom/>
      <diagonal/>
    </border>
    <border>
      <left/>
      <right/>
      <top style="medium">
        <color rgb="FFBFBFBF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8">
    <xf numFmtId="0" fontId="0" fillId="0" borderId="0" xfId="0"/>
    <xf numFmtId="0" fontId="4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0" fontId="4" fillId="0" borderId="1" xfId="0" applyNumberFormat="1" applyFont="1" applyBorder="1" applyAlignment="1">
      <alignment horizontal="left" vertical="top" wrapText="1"/>
    </xf>
    <xf numFmtId="9" fontId="4" fillId="0" borderId="1" xfId="0" applyNumberFormat="1" applyFont="1" applyBorder="1" applyAlignment="1">
      <alignment horizontal="left" vertical="top" wrapText="1"/>
    </xf>
    <xf numFmtId="15" fontId="4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6" fillId="2" borderId="0" xfId="0" applyFont="1" applyFill="1" applyAlignment="1">
      <alignment vertical="top" wrapText="1"/>
    </xf>
    <xf numFmtId="9" fontId="4" fillId="0" borderId="0" xfId="0" applyNumberFormat="1" applyFont="1" applyAlignment="1">
      <alignment vertical="top" wrapText="1"/>
    </xf>
    <xf numFmtId="0" fontId="12" fillId="0" borderId="0" xfId="0" applyFont="1" applyAlignment="1">
      <alignment vertical="top" wrapText="1"/>
    </xf>
    <xf numFmtId="0" fontId="5" fillId="2" borderId="0" xfId="0" applyFont="1" applyFill="1" applyAlignment="1">
      <alignment vertical="top" wrapText="1"/>
    </xf>
    <xf numFmtId="15" fontId="4" fillId="0" borderId="0" xfId="0" applyNumberFormat="1" applyFont="1" applyAlignment="1">
      <alignment vertical="top" wrapText="1"/>
    </xf>
    <xf numFmtId="10" fontId="4" fillId="0" borderId="0" xfId="0" applyNumberFormat="1" applyFont="1" applyAlignment="1">
      <alignment vertical="top" wrapText="1"/>
    </xf>
    <xf numFmtId="0" fontId="6" fillId="0" borderId="0" xfId="0" applyFont="1" applyAlignment="1">
      <alignment vertical="top"/>
    </xf>
    <xf numFmtId="0" fontId="4" fillId="0" borderId="0" xfId="0" applyFont="1" applyAlignment="1">
      <alignment wrapText="1"/>
    </xf>
    <xf numFmtId="0" fontId="7" fillId="0" borderId="1" xfId="0" applyFont="1" applyBorder="1" applyAlignment="1">
      <alignment vertical="top" wrapText="1"/>
    </xf>
    <xf numFmtId="0" fontId="4" fillId="3" borderId="0" xfId="0" applyFont="1" applyFill="1" applyAlignment="1">
      <alignment vertical="top" wrapText="1"/>
    </xf>
    <xf numFmtId="164" fontId="13" fillId="0" borderId="1" xfId="1" applyFont="1" applyFill="1" applyBorder="1" applyAlignment="1">
      <alignment vertical="top" wrapText="1"/>
    </xf>
    <xf numFmtId="0" fontId="9" fillId="0" borderId="0" xfId="1" applyNumberFormat="1" applyFont="1" applyAlignment="1">
      <alignment vertical="top" wrapText="1"/>
    </xf>
    <xf numFmtId="164" fontId="4" fillId="0" borderId="0" xfId="1" applyFont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/>
    </xf>
    <xf numFmtId="0" fontId="16" fillId="2" borderId="1" xfId="0" applyFont="1" applyFill="1" applyBorder="1" applyAlignment="1">
      <alignment horizontal="left" vertical="top" wrapText="1" indent="2"/>
    </xf>
    <xf numFmtId="0" fontId="4" fillId="2" borderId="1" xfId="0" applyFont="1" applyFill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7" borderId="0" xfId="0" applyFont="1" applyFill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9" fillId="3" borderId="0" xfId="0" applyFont="1" applyFill="1" applyAlignment="1">
      <alignment horizontal="left" vertical="top" wrapText="1"/>
    </xf>
    <xf numFmtId="9" fontId="4" fillId="0" borderId="0" xfId="0" applyNumberFormat="1" applyFont="1" applyAlignment="1">
      <alignment wrapText="1"/>
    </xf>
    <xf numFmtId="0" fontId="7" fillId="0" borderId="0" xfId="0" applyFont="1" applyAlignment="1">
      <alignment horizontal="left" vertical="top" wrapText="1"/>
    </xf>
    <xf numFmtId="9" fontId="4" fillId="7" borderId="0" xfId="0" applyNumberFormat="1" applyFont="1" applyFill="1" applyAlignment="1">
      <alignment horizontal="left" vertical="top" wrapText="1"/>
    </xf>
    <xf numFmtId="0" fontId="4" fillId="7" borderId="0" xfId="0" applyFont="1" applyFill="1" applyAlignment="1">
      <alignment horizontal="left" vertical="top"/>
    </xf>
    <xf numFmtId="15" fontId="4" fillId="7" borderId="0" xfId="0" applyNumberFormat="1" applyFont="1" applyFill="1" applyAlignment="1">
      <alignment horizontal="left" vertical="top" wrapText="1"/>
    </xf>
    <xf numFmtId="0" fontId="7" fillId="7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15" fontId="4" fillId="2" borderId="0" xfId="0" applyNumberFormat="1" applyFont="1" applyFill="1" applyAlignment="1">
      <alignment horizontal="left" vertical="top" wrapText="1"/>
    </xf>
    <xf numFmtId="9" fontId="4" fillId="2" borderId="0" xfId="0" applyNumberFormat="1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/>
    </xf>
    <xf numFmtId="0" fontId="4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15" fillId="9" borderId="0" xfId="0" applyFont="1" applyFill="1" applyAlignment="1">
      <alignment horizontal="center" wrapText="1"/>
    </xf>
    <xf numFmtId="0" fontId="22" fillId="9" borderId="0" xfId="0" applyFont="1" applyFill="1" applyAlignment="1">
      <alignment horizontal="left" vertical="center" wrapText="1"/>
    </xf>
    <xf numFmtId="0" fontId="15" fillId="9" borderId="0" xfId="0" applyFont="1" applyFill="1" applyAlignment="1">
      <alignment vertical="center" wrapText="1"/>
    </xf>
    <xf numFmtId="0" fontId="21" fillId="0" borderId="0" xfId="0" applyFont="1" applyAlignment="1">
      <alignment horizontal="left" vertical="center" wrapText="1"/>
    </xf>
    <xf numFmtId="9" fontId="21" fillId="7" borderId="0" xfId="2" applyFont="1" applyFill="1" applyBorder="1" applyAlignment="1">
      <alignment horizontal="left" vertical="top" wrapText="1"/>
    </xf>
    <xf numFmtId="0" fontId="21" fillId="7" borderId="0" xfId="0" applyFont="1" applyFill="1" applyAlignment="1">
      <alignment horizontal="left" vertical="top" wrapText="1"/>
    </xf>
    <xf numFmtId="0" fontId="21" fillId="2" borderId="0" xfId="0" applyFont="1" applyFill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9" fontId="21" fillId="7" borderId="0" xfId="2" applyFont="1" applyFill="1" applyBorder="1" applyAlignment="1">
      <alignment horizontal="left" vertical="top"/>
    </xf>
    <xf numFmtId="15" fontId="21" fillId="7" borderId="0" xfId="0" applyNumberFormat="1" applyFont="1" applyFill="1" applyAlignment="1">
      <alignment horizontal="left" vertical="top" wrapText="1"/>
    </xf>
    <xf numFmtId="0" fontId="14" fillId="5" borderId="1" xfId="0" applyFont="1" applyFill="1" applyBorder="1" applyAlignment="1">
      <alignment horizontal="left" vertical="top" wrapText="1"/>
    </xf>
    <xf numFmtId="0" fontId="24" fillId="7" borderId="0" xfId="0" applyFont="1" applyFill="1" applyAlignment="1">
      <alignment horizontal="left" vertical="top" wrapText="1"/>
    </xf>
    <xf numFmtId="0" fontId="24" fillId="2" borderId="0" xfId="0" applyFont="1" applyFill="1" applyAlignment="1">
      <alignment horizontal="left" vertical="top" wrapText="1"/>
    </xf>
    <xf numFmtId="0" fontId="24" fillId="7" borderId="0" xfId="0" applyFont="1" applyFill="1" applyAlignment="1">
      <alignment horizontal="left" vertical="top"/>
    </xf>
    <xf numFmtId="0" fontId="24" fillId="0" borderId="0" xfId="0" applyFont="1" applyAlignment="1">
      <alignment horizontal="left" vertical="top" wrapText="1"/>
    </xf>
    <xf numFmtId="0" fontId="21" fillId="0" borderId="0" xfId="0" applyFont="1" applyAlignment="1">
      <alignment vertical="center" wrapText="1"/>
    </xf>
    <xf numFmtId="9" fontId="24" fillId="7" borderId="0" xfId="2" applyFont="1" applyFill="1" applyBorder="1" applyAlignment="1">
      <alignment horizontal="left" vertical="top" wrapText="1"/>
    </xf>
    <xf numFmtId="9" fontId="22" fillId="9" borderId="0" xfId="2" applyFont="1" applyFill="1" applyBorder="1" applyAlignment="1">
      <alignment horizontal="left" vertical="center" wrapText="1"/>
    </xf>
    <xf numFmtId="0" fontId="23" fillId="7" borderId="0" xfId="0" applyFont="1" applyFill="1" applyAlignment="1">
      <alignment horizontal="left" vertical="top" wrapText="1"/>
    </xf>
    <xf numFmtId="0" fontId="22" fillId="2" borderId="0" xfId="0" applyFont="1" applyFill="1" applyAlignment="1">
      <alignment horizontal="left" vertical="center" wrapText="1"/>
    </xf>
    <xf numFmtId="9" fontId="22" fillId="2" borderId="0" xfId="2" applyFont="1" applyFill="1" applyBorder="1" applyAlignment="1">
      <alignment horizontal="left" vertical="center" wrapText="1"/>
    </xf>
    <xf numFmtId="0" fontId="21" fillId="2" borderId="0" xfId="0" applyFont="1" applyFill="1" applyAlignment="1">
      <alignment horizontal="left" vertical="center" wrapText="1"/>
    </xf>
    <xf numFmtId="9" fontId="21" fillId="2" borderId="0" xfId="2" applyFont="1" applyFill="1" applyBorder="1" applyAlignment="1">
      <alignment horizontal="left" vertical="center" wrapText="1"/>
    </xf>
    <xf numFmtId="9" fontId="21" fillId="0" borderId="0" xfId="2" applyFont="1" applyBorder="1" applyAlignment="1">
      <alignment horizontal="left" vertical="center" wrapText="1"/>
    </xf>
    <xf numFmtId="165" fontId="22" fillId="2" borderId="0" xfId="0" applyNumberFormat="1" applyFont="1" applyFill="1" applyAlignment="1">
      <alignment vertical="center" wrapText="1"/>
    </xf>
    <xf numFmtId="9" fontId="22" fillId="2" borderId="0" xfId="2" applyFont="1" applyFill="1" applyBorder="1" applyAlignment="1">
      <alignment vertical="center" wrapText="1"/>
    </xf>
    <xf numFmtId="0" fontId="22" fillId="9" borderId="0" xfId="0" applyFont="1" applyFill="1" applyAlignment="1">
      <alignment vertical="center" wrapText="1"/>
    </xf>
    <xf numFmtId="9" fontId="21" fillId="0" borderId="0" xfId="2" applyFont="1" applyBorder="1" applyAlignment="1">
      <alignment vertical="center" wrapText="1"/>
    </xf>
    <xf numFmtId="0" fontId="14" fillId="0" borderId="3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21" fillId="0" borderId="0" xfId="0" applyFont="1" applyAlignment="1">
      <alignment horizontal="left" wrapText="1"/>
    </xf>
    <xf numFmtId="0" fontId="22" fillId="9" borderId="0" xfId="0" applyFont="1" applyFill="1" applyAlignment="1">
      <alignment horizontal="left" wrapText="1"/>
    </xf>
    <xf numFmtId="0" fontId="21" fillId="0" borderId="0" xfId="0" applyFont="1" applyAlignment="1">
      <alignment wrapText="1"/>
    </xf>
    <xf numFmtId="0" fontId="21" fillId="0" borderId="0" xfId="0" applyFont="1" applyAlignment="1">
      <alignment horizontal="center" wrapText="1"/>
    </xf>
    <xf numFmtId="9" fontId="4" fillId="0" borderId="0" xfId="2" applyFont="1" applyAlignment="1">
      <alignment horizontal="left" vertical="top" wrapText="1"/>
    </xf>
    <xf numFmtId="9" fontId="4" fillId="0" borderId="0" xfId="2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 indent="2"/>
    </xf>
    <xf numFmtId="0" fontId="17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2"/>
    </xf>
    <xf numFmtId="0" fontId="1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21" fillId="4" borderId="7" xfId="0" applyFont="1" applyFill="1" applyBorder="1" applyAlignment="1">
      <alignment vertical="center" wrapText="1"/>
    </xf>
    <xf numFmtId="0" fontId="21" fillId="10" borderId="1" xfId="0" applyFont="1" applyFill="1" applyBorder="1" applyAlignment="1">
      <alignment vertical="center" wrapText="1"/>
    </xf>
    <xf numFmtId="9" fontId="21" fillId="7" borderId="0" xfId="0" applyNumberFormat="1" applyFont="1" applyFill="1" applyAlignment="1">
      <alignment horizontal="left" vertical="top" wrapText="1"/>
    </xf>
    <xf numFmtId="9" fontId="21" fillId="0" borderId="0" xfId="0" applyNumberFormat="1" applyFont="1" applyAlignment="1">
      <alignment wrapText="1"/>
    </xf>
    <xf numFmtId="0" fontId="21" fillId="0" borderId="1" xfId="0" applyFont="1" applyBorder="1" applyAlignment="1">
      <alignment vertical="center" wrapText="1"/>
    </xf>
    <xf numFmtId="0" fontId="14" fillId="7" borderId="0" xfId="0" applyFont="1" applyFill="1" applyAlignment="1">
      <alignment horizontal="left" vertical="top" wrapText="1"/>
    </xf>
    <xf numFmtId="0" fontId="21" fillId="7" borderId="0" xfId="0" applyFont="1" applyFill="1" applyAlignment="1">
      <alignment horizontal="left" vertical="top"/>
    </xf>
    <xf numFmtId="15" fontId="21" fillId="2" borderId="0" xfId="0" applyNumberFormat="1" applyFont="1" applyFill="1" applyAlignment="1">
      <alignment horizontal="left" vertical="top" wrapText="1"/>
    </xf>
    <xf numFmtId="9" fontId="21" fillId="2" borderId="0" xfId="0" applyNumberFormat="1" applyFont="1" applyFill="1" applyAlignment="1">
      <alignment horizontal="left" vertical="top" wrapText="1"/>
    </xf>
    <xf numFmtId="0" fontId="21" fillId="2" borderId="0" xfId="0" applyFont="1" applyFill="1" applyAlignment="1">
      <alignment horizontal="left" vertical="top"/>
    </xf>
    <xf numFmtId="0" fontId="21" fillId="0" borderId="0" xfId="0" applyFont="1" applyAlignment="1">
      <alignment vertical="top" wrapText="1"/>
    </xf>
    <xf numFmtId="0" fontId="15" fillId="0" borderId="0" xfId="0" applyFont="1" applyAlignment="1">
      <alignment horizontal="center" wrapText="1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left" vertical="center" wrapText="1"/>
    </xf>
    <xf numFmtId="0" fontId="15" fillId="0" borderId="0" xfId="0" applyFont="1" applyAlignment="1">
      <alignment vertical="center" wrapText="1"/>
    </xf>
    <xf numFmtId="9" fontId="21" fillId="0" borderId="0" xfId="2" applyFont="1" applyFill="1" applyBorder="1" applyAlignment="1">
      <alignment horizontal="left" vertical="center" wrapText="1"/>
    </xf>
    <xf numFmtId="9" fontId="22" fillId="0" borderId="0" xfId="2" applyFont="1" applyFill="1" applyBorder="1" applyAlignment="1">
      <alignment horizontal="left" vertical="center" wrapText="1"/>
    </xf>
    <xf numFmtId="9" fontId="7" fillId="0" borderId="1" xfId="0" applyNumberFormat="1" applyFont="1" applyBorder="1" applyAlignment="1">
      <alignment vertical="top" wrapText="1"/>
    </xf>
    <xf numFmtId="9" fontId="7" fillId="6" borderId="1" xfId="0" applyNumberFormat="1" applyFont="1" applyFill="1" applyBorder="1" applyAlignment="1">
      <alignment vertical="top" wrapText="1"/>
    </xf>
    <xf numFmtId="9" fontId="4" fillId="0" borderId="1" xfId="0" applyNumberFormat="1" applyFont="1" applyBorder="1" applyAlignment="1">
      <alignment vertical="top" wrapTex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vertical="center" wrapText="1"/>
    </xf>
    <xf numFmtId="0" fontId="22" fillId="0" borderId="1" xfId="0" applyFont="1" applyBorder="1" applyAlignment="1">
      <alignment horizontal="left" vertical="center" wrapText="1"/>
    </xf>
    <xf numFmtId="9" fontId="22" fillId="0" borderId="1" xfId="2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9" fontId="21" fillId="0" borderId="1" xfId="2" applyFont="1" applyFill="1" applyBorder="1" applyAlignment="1">
      <alignment horizontal="left" vertical="center" wrapText="1"/>
    </xf>
    <xf numFmtId="0" fontId="15" fillId="0" borderId="0" xfId="0" applyFont="1" applyAlignment="1">
      <alignment wrapText="1"/>
    </xf>
    <xf numFmtId="0" fontId="15" fillId="0" borderId="15" xfId="0" applyFont="1" applyBorder="1" applyAlignment="1">
      <alignment wrapText="1"/>
    </xf>
    <xf numFmtId="9" fontId="22" fillId="0" borderId="0" xfId="2" applyFont="1" applyFill="1" applyBorder="1" applyAlignment="1">
      <alignment vertical="center" wrapText="1"/>
    </xf>
    <xf numFmtId="0" fontId="22" fillId="0" borderId="0" xfId="0" applyFont="1" applyAlignment="1">
      <alignment horizontal="center" wrapText="1"/>
    </xf>
    <xf numFmtId="0" fontId="22" fillId="9" borderId="0" xfId="0" applyFont="1" applyFill="1" applyAlignment="1">
      <alignment horizontal="center" wrapText="1"/>
    </xf>
    <xf numFmtId="0" fontId="18" fillId="0" borderId="8" xfId="0" applyFont="1" applyBorder="1" applyAlignment="1">
      <alignment vertical="center" wrapText="1"/>
    </xf>
    <xf numFmtId="0" fontId="18" fillId="0" borderId="9" xfId="0" applyFont="1" applyBorder="1" applyAlignment="1">
      <alignment vertical="center" wrapText="1"/>
    </xf>
    <xf numFmtId="0" fontId="6" fillId="0" borderId="6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27" fillId="0" borderId="1" xfId="0" applyFont="1" applyBorder="1" applyAlignment="1">
      <alignment vertical="top" wrapText="1"/>
    </xf>
    <xf numFmtId="0" fontId="6" fillId="0" borderId="0" xfId="0" applyFont="1" applyAlignment="1">
      <alignment wrapText="1"/>
    </xf>
    <xf numFmtId="0" fontId="27" fillId="0" borderId="3" xfId="0" applyFont="1" applyBorder="1" applyAlignment="1">
      <alignment vertical="top" wrapText="1"/>
    </xf>
    <xf numFmtId="0" fontId="4" fillId="2" borderId="2" xfId="0" applyFont="1" applyFill="1" applyBorder="1" applyAlignment="1">
      <alignment horizontal="left" vertical="top" wrapText="1"/>
    </xf>
    <xf numFmtId="15" fontId="4" fillId="2" borderId="1" xfId="0" applyNumberFormat="1" applyFont="1" applyFill="1" applyBorder="1" applyAlignment="1">
      <alignment horizontal="left" vertical="top" wrapText="1"/>
    </xf>
    <xf numFmtId="10" fontId="4" fillId="2" borderId="1" xfId="0" applyNumberFormat="1" applyFont="1" applyFill="1" applyBorder="1" applyAlignment="1">
      <alignment horizontal="left" vertical="top" wrapText="1"/>
    </xf>
    <xf numFmtId="0" fontId="18" fillId="2" borderId="9" xfId="0" applyFont="1" applyFill="1" applyBorder="1" applyAlignment="1">
      <alignment vertical="center" wrapText="1"/>
    </xf>
    <xf numFmtId="0" fontId="25" fillId="3" borderId="1" xfId="0" applyFont="1" applyFill="1" applyBorder="1" applyAlignment="1">
      <alignment vertical="top" wrapText="1"/>
    </xf>
    <xf numFmtId="0" fontId="29" fillId="3" borderId="1" xfId="0" applyFont="1" applyFill="1" applyBorder="1" applyAlignment="1">
      <alignment vertical="top" wrapText="1"/>
    </xf>
    <xf numFmtId="0" fontId="7" fillId="3" borderId="0" xfId="0" applyFont="1" applyFill="1" applyAlignment="1">
      <alignment vertical="top" wrapText="1"/>
    </xf>
    <xf numFmtId="0" fontId="25" fillId="3" borderId="1" xfId="0" applyFont="1" applyFill="1" applyBorder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0" fontId="25" fillId="3" borderId="1" xfId="1" applyNumberFormat="1" applyFont="1" applyFill="1" applyBorder="1" applyAlignment="1">
      <alignment vertical="top" wrapText="1"/>
    </xf>
    <xf numFmtId="164" fontId="25" fillId="3" borderId="1" xfId="1" applyFont="1" applyFill="1" applyBorder="1" applyAlignment="1">
      <alignment vertical="top" wrapText="1"/>
    </xf>
    <xf numFmtId="0" fontId="7" fillId="3" borderId="7" xfId="0" applyFont="1" applyFill="1" applyBorder="1" applyAlignment="1">
      <alignment vertical="center" wrapText="1"/>
    </xf>
    <xf numFmtId="0" fontId="25" fillId="3" borderId="0" xfId="0" applyFont="1" applyFill="1" applyAlignment="1">
      <alignment horizontal="left" vertical="center" wrapText="1"/>
    </xf>
    <xf numFmtId="0" fontId="25" fillId="3" borderId="0" xfId="0" applyFont="1" applyFill="1" applyAlignment="1">
      <alignment horizontal="center" vertical="center" wrapText="1"/>
    </xf>
    <xf numFmtId="0" fontId="25" fillId="3" borderId="0" xfId="0" applyFont="1" applyFill="1" applyAlignment="1">
      <alignment vertical="center" wrapText="1"/>
    </xf>
    <xf numFmtId="9" fontId="25" fillId="3" borderId="0" xfId="2" applyFont="1" applyFill="1" applyBorder="1" applyAlignment="1">
      <alignment horizontal="left" vertical="top" wrapText="1"/>
    </xf>
    <xf numFmtId="0" fontId="25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wrapText="1"/>
    </xf>
    <xf numFmtId="0" fontId="14" fillId="3" borderId="12" xfId="0" applyFont="1" applyFill="1" applyBorder="1" applyAlignment="1">
      <alignment horizontal="left" vertical="center" wrapText="1"/>
    </xf>
    <xf numFmtId="9" fontId="23" fillId="3" borderId="7" xfId="2" applyFont="1" applyFill="1" applyBorder="1" applyAlignment="1">
      <alignment horizontal="left" vertical="top" wrapText="1"/>
    </xf>
    <xf numFmtId="0" fontId="8" fillId="3" borderId="0" xfId="0" applyFont="1" applyFill="1" applyAlignment="1">
      <alignment horizontal="left" vertical="top" wrapText="1"/>
    </xf>
    <xf numFmtId="0" fontId="4" fillId="3" borderId="0" xfId="0" applyFont="1" applyFill="1" applyAlignment="1">
      <alignment wrapText="1"/>
    </xf>
    <xf numFmtId="0" fontId="7" fillId="3" borderId="10" xfId="0" applyFont="1" applyFill="1" applyBorder="1" applyAlignment="1">
      <alignment horizontal="center" wrapText="1"/>
    </xf>
    <xf numFmtId="0" fontId="7" fillId="3" borderId="12" xfId="0" applyFont="1" applyFill="1" applyBorder="1" applyAlignment="1">
      <alignment vertical="center" wrapText="1"/>
    </xf>
    <xf numFmtId="0" fontId="25" fillId="3" borderId="12" xfId="0" applyFont="1" applyFill="1" applyBorder="1" applyAlignment="1">
      <alignment horizontal="left" vertical="center" wrapText="1"/>
    </xf>
    <xf numFmtId="0" fontId="25" fillId="3" borderId="12" xfId="0" applyFont="1" applyFill="1" applyBorder="1" applyAlignment="1">
      <alignment horizontal="center" vertical="center" wrapText="1"/>
    </xf>
    <xf numFmtId="0" fontId="25" fillId="3" borderId="13" xfId="0" applyFont="1" applyFill="1" applyBorder="1" applyAlignment="1">
      <alignment vertical="center" wrapText="1"/>
    </xf>
    <xf numFmtId="0" fontId="25" fillId="3" borderId="7" xfId="0" applyFont="1" applyFill="1" applyBorder="1" applyAlignment="1">
      <alignment vertical="center" wrapText="1"/>
    </xf>
    <xf numFmtId="9" fontId="25" fillId="3" borderId="7" xfId="2" applyFont="1" applyFill="1" applyBorder="1" applyAlignment="1">
      <alignment horizontal="left" vertical="top" wrapText="1"/>
    </xf>
    <xf numFmtId="0" fontId="25" fillId="3" borderId="10" xfId="0" applyFont="1" applyFill="1" applyBorder="1" applyAlignment="1">
      <alignment horizontal="center" wrapText="1"/>
    </xf>
    <xf numFmtId="0" fontId="25" fillId="3" borderId="12" xfId="0" applyFont="1" applyFill="1" applyBorder="1" applyAlignment="1">
      <alignment vertical="center" wrapText="1"/>
    </xf>
    <xf numFmtId="0" fontId="21" fillId="3" borderId="10" xfId="0" applyFont="1" applyFill="1" applyBorder="1" applyAlignment="1">
      <alignment horizontal="left" wrapText="1"/>
    </xf>
    <xf numFmtId="9" fontId="14" fillId="3" borderId="12" xfId="2" applyFont="1" applyFill="1" applyBorder="1" applyAlignment="1">
      <alignment horizontal="left" vertical="center" wrapText="1"/>
    </xf>
    <xf numFmtId="0" fontId="21" fillId="3" borderId="13" xfId="0" applyFont="1" applyFill="1" applyBorder="1" applyAlignment="1">
      <alignment horizontal="left" vertical="center" wrapText="1"/>
    </xf>
    <xf numFmtId="0" fontId="23" fillId="3" borderId="7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wrapText="1"/>
    </xf>
    <xf numFmtId="9" fontId="14" fillId="0" borderId="1" xfId="2" applyFont="1" applyFill="1" applyBorder="1" applyAlignment="1">
      <alignment horizontal="left" vertical="center" wrapText="1"/>
    </xf>
    <xf numFmtId="9" fontId="24" fillId="0" borderId="0" xfId="2" applyFont="1" applyFill="1" applyBorder="1" applyAlignment="1">
      <alignment horizontal="left" vertical="top" wrapText="1"/>
    </xf>
    <xf numFmtId="9" fontId="4" fillId="0" borderId="0" xfId="0" applyNumberFormat="1" applyFont="1" applyAlignment="1">
      <alignment horizontal="left" vertical="top" wrapText="1"/>
    </xf>
    <xf numFmtId="9" fontId="4" fillId="0" borderId="0" xfId="0" applyNumberFormat="1" applyFont="1" applyAlignment="1">
      <alignment horizontal="left" wrapText="1"/>
    </xf>
    <xf numFmtId="0" fontId="23" fillId="0" borderId="0" xfId="0" applyFont="1" applyAlignment="1">
      <alignment horizontal="left" vertical="top" wrapText="1"/>
    </xf>
    <xf numFmtId="0" fontId="4" fillId="0" borderId="0" xfId="0" applyFont="1" applyAlignment="1">
      <alignment horizontal="left" wrapText="1"/>
    </xf>
    <xf numFmtId="0" fontId="21" fillId="0" borderId="1" xfId="0" applyFont="1" applyBorder="1" applyAlignment="1">
      <alignment horizontal="left" wrapText="1"/>
    </xf>
    <xf numFmtId="15" fontId="4" fillId="0" borderId="0" xfId="0" applyNumberFormat="1" applyFont="1" applyAlignment="1">
      <alignment horizontal="left" vertical="top" wrapText="1"/>
    </xf>
    <xf numFmtId="0" fontId="22" fillId="0" borderId="1" xfId="0" applyFont="1" applyBorder="1" applyAlignment="1">
      <alignment horizontal="left" wrapText="1"/>
    </xf>
    <xf numFmtId="0" fontId="24" fillId="0" borderId="0" xfId="0" applyFont="1" applyAlignment="1">
      <alignment horizontal="left" vertical="top"/>
    </xf>
    <xf numFmtId="0" fontId="10" fillId="0" borderId="0" xfId="0" applyFont="1" applyAlignment="1">
      <alignment horizontal="left" vertical="center" wrapText="1"/>
    </xf>
    <xf numFmtId="0" fontId="11" fillId="9" borderId="0" xfId="0" applyFont="1" applyFill="1" applyAlignment="1">
      <alignment horizontal="left" vertical="center" wrapText="1"/>
    </xf>
    <xf numFmtId="0" fontId="20" fillId="9" borderId="0" xfId="0" applyFont="1" applyFill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25" fillId="3" borderId="7" xfId="0" applyFont="1" applyFill="1" applyBorder="1" applyAlignment="1">
      <alignment vertical="top" wrapText="1"/>
    </xf>
    <xf numFmtId="0" fontId="3" fillId="0" borderId="1" xfId="0" applyFont="1" applyBorder="1"/>
    <xf numFmtId="0" fontId="3" fillId="2" borderId="1" xfId="0" applyFont="1" applyFill="1" applyBorder="1"/>
    <xf numFmtId="0" fontId="3" fillId="0" borderId="0" xfId="0" applyFont="1" applyAlignment="1">
      <alignment horizontal="left" vertical="top" wrapText="1"/>
    </xf>
    <xf numFmtId="0" fontId="25" fillId="0" borderId="1" xfId="0" applyFont="1" applyBorder="1" applyAlignment="1">
      <alignment vertical="top" wrapText="1"/>
    </xf>
    <xf numFmtId="0" fontId="25" fillId="6" borderId="1" xfId="0" applyFont="1" applyFill="1" applyBorder="1" applyAlignment="1">
      <alignment vertical="top" wrapText="1"/>
    </xf>
    <xf numFmtId="0" fontId="22" fillId="9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22" fillId="0" borderId="1" xfId="0" applyFont="1" applyBorder="1" applyAlignment="1">
      <alignment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center" vertical="center" wrapText="1"/>
    </xf>
    <xf numFmtId="9" fontId="21" fillId="0" borderId="1" xfId="2" applyFont="1" applyFill="1" applyBorder="1" applyAlignment="1">
      <alignment horizontal="center" vertical="top" wrapText="1"/>
    </xf>
    <xf numFmtId="9" fontId="21" fillId="0" borderId="1" xfId="2" applyFont="1" applyFill="1" applyBorder="1" applyAlignment="1">
      <alignment horizontal="center" vertical="top"/>
    </xf>
    <xf numFmtId="15" fontId="21" fillId="0" borderId="1" xfId="0" applyNumberFormat="1" applyFont="1" applyBorder="1" applyAlignment="1">
      <alignment horizontal="center" vertical="top" wrapText="1"/>
    </xf>
    <xf numFmtId="0" fontId="21" fillId="0" borderId="0" xfId="0" applyFont="1" applyAlignment="1">
      <alignment horizontal="center" vertical="top" wrapText="1"/>
    </xf>
    <xf numFmtId="0" fontId="22" fillId="0" borderId="7" xfId="0" applyFont="1" applyBorder="1" applyAlignment="1">
      <alignment wrapText="1"/>
    </xf>
    <xf numFmtId="0" fontId="22" fillId="0" borderId="7" xfId="0" applyFont="1" applyBorder="1" applyAlignment="1">
      <alignment vertical="center" wrapText="1"/>
    </xf>
    <xf numFmtId="0" fontId="22" fillId="0" borderId="14" xfId="0" applyFont="1" applyBorder="1" applyAlignment="1">
      <alignment wrapText="1"/>
    </xf>
    <xf numFmtId="0" fontId="22" fillId="0" borderId="14" xfId="0" applyFont="1" applyBorder="1" applyAlignment="1">
      <alignment vertical="center" wrapText="1"/>
    </xf>
    <xf numFmtId="0" fontId="22" fillId="0" borderId="4" xfId="0" applyFont="1" applyBorder="1" applyAlignment="1">
      <alignment vertical="center" wrapText="1"/>
    </xf>
    <xf numFmtId="0" fontId="21" fillId="0" borderId="7" xfId="0" applyFont="1" applyBorder="1" applyAlignment="1">
      <alignment horizontal="left" vertical="top" wrapText="1"/>
    </xf>
    <xf numFmtId="0" fontId="22" fillId="0" borderId="16" xfId="0" applyFont="1" applyBorder="1" applyAlignment="1">
      <alignment vertical="center" wrapText="1"/>
    </xf>
    <xf numFmtId="0" fontId="21" fillId="0" borderId="14" xfId="0" applyFont="1" applyBorder="1"/>
    <xf numFmtId="0" fontId="21" fillId="0" borderId="17" xfId="0" applyFont="1" applyBorder="1" applyAlignment="1">
      <alignment vertical="center" wrapText="1"/>
    </xf>
    <xf numFmtId="0" fontId="21" fillId="0" borderId="18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center" wrapText="1"/>
    </xf>
    <xf numFmtId="0" fontId="22" fillId="0" borderId="19" xfId="0" applyFont="1" applyBorder="1" applyAlignment="1">
      <alignment wrapText="1"/>
    </xf>
    <xf numFmtId="0" fontId="22" fillId="0" borderId="14" xfId="0" applyFont="1" applyBorder="1" applyAlignment="1">
      <alignment vertical="top" wrapText="1"/>
    </xf>
    <xf numFmtId="0" fontId="22" fillId="0" borderId="3" xfId="0" applyFont="1" applyBorder="1" applyAlignment="1">
      <alignment horizontal="left" vertical="center" wrapText="1"/>
    </xf>
    <xf numFmtId="0" fontId="14" fillId="0" borderId="14" xfId="0" applyFont="1" applyBorder="1" applyAlignment="1">
      <alignment wrapText="1"/>
    </xf>
    <xf numFmtId="0" fontId="14" fillId="0" borderId="14" xfId="0" applyFont="1" applyBorder="1" applyAlignment="1">
      <alignment vertical="center" wrapText="1"/>
    </xf>
    <xf numFmtId="0" fontId="21" fillId="0" borderId="7" xfId="0" applyFont="1" applyBorder="1"/>
    <xf numFmtId="0" fontId="21" fillId="0" borderId="14" xfId="0" applyFont="1" applyBorder="1" applyAlignment="1">
      <alignment wrapText="1"/>
    </xf>
    <xf numFmtId="0" fontId="21" fillId="0" borderId="14" xfId="0" applyFont="1" applyBorder="1" applyAlignment="1">
      <alignment vertical="center" wrapText="1"/>
    </xf>
    <xf numFmtId="0" fontId="21" fillId="0" borderId="18" xfId="0" applyFont="1" applyBorder="1"/>
    <xf numFmtId="0" fontId="21" fillId="0" borderId="19" xfId="0" applyFont="1" applyBorder="1" applyAlignment="1">
      <alignment wrapText="1"/>
    </xf>
    <xf numFmtId="0" fontId="21" fillId="0" borderId="5" xfId="0" applyFont="1" applyBorder="1" applyAlignment="1">
      <alignment wrapText="1"/>
    </xf>
    <xf numFmtId="0" fontId="21" fillId="0" borderId="4" xfId="0" applyFont="1" applyBorder="1" applyAlignment="1">
      <alignment vertical="center" wrapText="1"/>
    </xf>
    <xf numFmtId="0" fontId="23" fillId="3" borderId="16" xfId="0" applyFont="1" applyFill="1" applyBorder="1" applyAlignment="1">
      <alignment vertical="center" wrapText="1"/>
    </xf>
    <xf numFmtId="0" fontId="14" fillId="3" borderId="1" xfId="0" applyFont="1" applyFill="1" applyBorder="1" applyAlignment="1">
      <alignment horizontal="center" wrapText="1"/>
    </xf>
    <xf numFmtId="0" fontId="14" fillId="3" borderId="1" xfId="0" applyFont="1" applyFill="1" applyBorder="1" applyAlignment="1">
      <alignment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9" fontId="14" fillId="4" borderId="1" xfId="2" applyFont="1" applyFill="1" applyBorder="1" applyAlignment="1">
      <alignment horizontal="center" vertical="top" wrapText="1"/>
    </xf>
    <xf numFmtId="0" fontId="7" fillId="8" borderId="0" xfId="0" applyFont="1" applyFill="1" applyAlignment="1">
      <alignment vertical="top" wrapText="1"/>
    </xf>
    <xf numFmtId="0" fontId="21" fillId="10" borderId="1" xfId="0" applyFont="1" applyFill="1" applyBorder="1" applyAlignment="1">
      <alignment vertical="center" wrapText="1"/>
    </xf>
    <xf numFmtId="0" fontId="22" fillId="9" borderId="0" xfId="0" applyFont="1" applyFill="1" applyAlignment="1">
      <alignment horizontal="center" vertical="center" wrapText="1"/>
    </xf>
    <xf numFmtId="9" fontId="22" fillId="9" borderId="0" xfId="2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9" fontId="21" fillId="0" borderId="0" xfId="2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5" fillId="9" borderId="0" xfId="0" applyFont="1" applyFill="1" applyAlignment="1">
      <alignment vertical="center" wrapText="1"/>
    </xf>
    <xf numFmtId="0" fontId="22" fillId="9" borderId="0" xfId="0" applyFont="1" applyFill="1" applyAlignment="1">
      <alignment horizontal="left" vertical="center" wrapText="1"/>
    </xf>
    <xf numFmtId="0" fontId="21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left" vertical="center" wrapText="1"/>
    </xf>
    <xf numFmtId="165" fontId="22" fillId="2" borderId="0" xfId="0" applyNumberFormat="1" applyFont="1" applyFill="1" applyAlignment="1">
      <alignment horizontal="center" vertical="center" wrapText="1"/>
    </xf>
    <xf numFmtId="9" fontId="22" fillId="2" borderId="0" xfId="2" applyFont="1" applyFill="1" applyBorder="1" applyAlignment="1">
      <alignment horizontal="center" vertical="center" wrapText="1"/>
    </xf>
    <xf numFmtId="0" fontId="14" fillId="2" borderId="0" xfId="0" applyFont="1" applyFill="1" applyAlignment="1">
      <alignment vertical="top" wrapText="1"/>
    </xf>
    <xf numFmtId="0" fontId="25" fillId="3" borderId="0" xfId="0" applyFont="1" applyFill="1" applyAlignment="1">
      <alignment horizontal="center" vertical="center" wrapText="1"/>
    </xf>
    <xf numFmtId="165" fontId="22" fillId="9" borderId="0" xfId="0" applyNumberFormat="1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vertical="center" wrapText="1"/>
    </xf>
    <xf numFmtId="9" fontId="21" fillId="0" borderId="0" xfId="2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vertical="center" wrapText="1"/>
    </xf>
    <xf numFmtId="9" fontId="22" fillId="0" borderId="0" xfId="2" applyFont="1" applyFill="1" applyBorder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165" fontId="22" fillId="0" borderId="1" xfId="0" applyNumberFormat="1" applyFont="1" applyBorder="1" applyAlignment="1">
      <alignment horizontal="center" vertical="center" wrapText="1"/>
    </xf>
    <xf numFmtId="9" fontId="22" fillId="0" borderId="7" xfId="2" applyFont="1" applyFill="1" applyBorder="1" applyAlignment="1">
      <alignment horizontal="center" vertical="center" wrapText="1"/>
    </xf>
    <xf numFmtId="9" fontId="22" fillId="0" borderId="14" xfId="2" applyFont="1" applyFill="1" applyBorder="1" applyAlignment="1">
      <alignment horizontal="center" vertical="center" wrapText="1"/>
    </xf>
    <xf numFmtId="9" fontId="22" fillId="0" borderId="4" xfId="2" applyFont="1" applyFill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21" fillId="0" borderId="7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4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14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9" fontId="22" fillId="0" borderId="1" xfId="0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9" fontId="22" fillId="0" borderId="1" xfId="2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top" wrapText="1"/>
    </xf>
    <xf numFmtId="0" fontId="25" fillId="3" borderId="11" xfId="0" applyFont="1" applyFill="1" applyBorder="1" applyAlignment="1">
      <alignment horizontal="center" vertical="center" wrapText="1"/>
    </xf>
    <xf numFmtId="0" fontId="25" fillId="3" borderId="13" xfId="0" applyFont="1" applyFill="1" applyBorder="1" applyAlignment="1">
      <alignment horizontal="center" vertical="center" wrapText="1"/>
    </xf>
    <xf numFmtId="0" fontId="25" fillId="3" borderId="12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0" xfId="0" applyFont="1" applyAlignment="1">
      <alignment horizontal="center" wrapText="1"/>
    </xf>
    <xf numFmtId="0" fontId="15" fillId="0" borderId="0" xfId="0" applyFont="1" applyAlignment="1">
      <alignment horizontal="center" wrapText="1"/>
    </xf>
    <xf numFmtId="0" fontId="15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/>
    </xf>
    <xf numFmtId="0" fontId="21" fillId="0" borderId="1" xfId="0" applyFont="1" applyBorder="1" applyAlignment="1">
      <alignment vertical="center" wrapText="1"/>
    </xf>
    <xf numFmtId="0" fontId="15" fillId="0" borderId="7" xfId="0" applyFont="1" applyBorder="1" applyAlignment="1">
      <alignment horizontal="center" wrapText="1"/>
    </xf>
    <xf numFmtId="0" fontId="15" fillId="0" borderId="14" xfId="0" applyFont="1" applyBorder="1" applyAlignment="1">
      <alignment horizontal="center" wrapText="1"/>
    </xf>
    <xf numFmtId="0" fontId="15" fillId="0" borderId="4" xfId="0" applyFont="1" applyBorder="1" applyAlignment="1">
      <alignment horizontal="center" wrapText="1"/>
    </xf>
    <xf numFmtId="0" fontId="22" fillId="0" borderId="7" xfId="0" applyFont="1" applyBorder="1" applyAlignment="1">
      <alignment horizontal="left" vertical="top" wrapText="1"/>
    </xf>
    <xf numFmtId="0" fontId="22" fillId="0" borderId="14" xfId="0" applyFont="1" applyBorder="1" applyAlignment="1">
      <alignment horizontal="left" vertical="top" wrapText="1"/>
    </xf>
    <xf numFmtId="0" fontId="22" fillId="0" borderId="4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center" wrapText="1"/>
    </xf>
    <xf numFmtId="0" fontId="22" fillId="0" borderId="1" xfId="0" applyFont="1" applyBorder="1" applyAlignment="1">
      <alignment vertical="center" wrapText="1"/>
    </xf>
    <xf numFmtId="9" fontId="21" fillId="0" borderId="7" xfId="2" applyFont="1" applyFill="1" applyBorder="1" applyAlignment="1">
      <alignment horizontal="left" vertical="center" wrapText="1"/>
    </xf>
    <xf numFmtId="9" fontId="21" fillId="0" borderId="4" xfId="2" applyFont="1" applyFill="1" applyBorder="1" applyAlignment="1">
      <alignment horizontal="left" vertical="center" wrapText="1"/>
    </xf>
    <xf numFmtId="0" fontId="22" fillId="0" borderId="7" xfId="0" applyFont="1" applyBorder="1" applyAlignment="1">
      <alignment horizontal="left" vertical="center" wrapText="1"/>
    </xf>
    <xf numFmtId="0" fontId="22" fillId="0" borderId="4" xfId="0" applyFont="1" applyBorder="1" applyAlignment="1">
      <alignment horizontal="left" vertical="center" wrapText="1"/>
    </xf>
    <xf numFmtId="9" fontId="22" fillId="0" borderId="7" xfId="2" applyFont="1" applyFill="1" applyBorder="1" applyAlignment="1">
      <alignment horizontal="left" vertical="center" wrapText="1"/>
    </xf>
    <xf numFmtId="9" fontId="22" fillId="0" borderId="4" xfId="2" applyFont="1" applyFill="1" applyBorder="1" applyAlignment="1">
      <alignment horizontal="left" vertical="center" wrapText="1"/>
    </xf>
    <xf numFmtId="9" fontId="22" fillId="0" borderId="1" xfId="2" applyFont="1" applyFill="1" applyBorder="1" applyAlignment="1">
      <alignment horizontal="left" vertical="center" wrapText="1"/>
    </xf>
    <xf numFmtId="9" fontId="21" fillId="0" borderId="1" xfId="2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21" fillId="0" borderId="7" xfId="0" applyFont="1" applyBorder="1" applyAlignment="1">
      <alignment horizontal="left" wrapText="1"/>
    </xf>
    <xf numFmtId="0" fontId="21" fillId="0" borderId="4" xfId="0" applyFont="1" applyBorder="1" applyAlignment="1">
      <alignment horizontal="left" wrapText="1"/>
    </xf>
    <xf numFmtId="0" fontId="22" fillId="0" borderId="7" xfId="0" applyFont="1" applyBorder="1" applyAlignment="1">
      <alignment horizontal="left" wrapText="1"/>
    </xf>
    <xf numFmtId="0" fontId="22" fillId="0" borderId="14" xfId="0" applyFont="1" applyBorder="1" applyAlignment="1">
      <alignment horizontal="left" wrapText="1"/>
    </xf>
    <xf numFmtId="0" fontId="22" fillId="0" borderId="4" xfId="0" applyFont="1" applyBorder="1" applyAlignment="1">
      <alignment horizontal="left" wrapText="1"/>
    </xf>
    <xf numFmtId="0" fontId="22" fillId="0" borderId="1" xfId="0" applyFont="1" applyBorder="1" applyAlignment="1">
      <alignment horizontal="left" wrapText="1"/>
    </xf>
    <xf numFmtId="0" fontId="21" fillId="0" borderId="1" xfId="0" applyFont="1" applyBorder="1" applyAlignment="1">
      <alignment horizontal="left" wrapText="1"/>
    </xf>
    <xf numFmtId="9" fontId="21" fillId="0" borderId="14" xfId="2" applyFont="1" applyFill="1" applyBorder="1" applyAlignment="1">
      <alignment horizontal="left" vertical="center" wrapText="1"/>
    </xf>
    <xf numFmtId="9" fontId="22" fillId="0" borderId="14" xfId="2" applyFont="1" applyFill="1" applyBorder="1" applyAlignment="1">
      <alignment horizontal="left" vertical="center" wrapText="1"/>
    </xf>
    <xf numFmtId="165" fontId="22" fillId="0" borderId="1" xfId="0" applyNumberFormat="1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/>
    </xf>
    <xf numFmtId="0" fontId="21" fillId="0" borderId="1" xfId="0" applyFont="1" applyBorder="1" applyAlignment="1">
      <alignment horizontal="left" vertical="top" wrapText="1"/>
    </xf>
    <xf numFmtId="0" fontId="14" fillId="3" borderId="11" xfId="0" applyFont="1" applyFill="1" applyBorder="1" applyAlignment="1">
      <alignment horizontal="left" vertical="center" wrapText="1"/>
    </xf>
    <xf numFmtId="0" fontId="14" fillId="3" borderId="13" xfId="0" applyFont="1" applyFill="1" applyBorder="1" applyAlignment="1">
      <alignment horizontal="left" vertical="center" wrapText="1"/>
    </xf>
    <xf numFmtId="0" fontId="14" fillId="3" borderId="12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left" wrapText="1"/>
    </xf>
    <xf numFmtId="165" fontId="22" fillId="0" borderId="7" xfId="0" applyNumberFormat="1" applyFont="1" applyBorder="1" applyAlignment="1">
      <alignment horizontal="left" vertical="center" wrapText="1"/>
    </xf>
    <xf numFmtId="165" fontId="22" fillId="0" borderId="14" xfId="0" applyNumberFormat="1" applyFont="1" applyBorder="1" applyAlignment="1">
      <alignment horizontal="left" vertical="center" wrapText="1"/>
    </xf>
    <xf numFmtId="165" fontId="22" fillId="0" borderId="4" xfId="0" applyNumberFormat="1" applyFont="1" applyBorder="1" applyAlignment="1">
      <alignment horizontal="left" vertical="center" wrapText="1"/>
    </xf>
    <xf numFmtId="9" fontId="21" fillId="0" borderId="1" xfId="2" applyFont="1" applyFill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top" wrapText="1"/>
    </xf>
    <xf numFmtId="0" fontId="14" fillId="3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F9EFE-B890-47BE-9C03-E0A1C6612D17}">
  <dimension ref="A1:T8"/>
  <sheetViews>
    <sheetView tabSelected="1" view="pageBreakPreview" topLeftCell="L1" zoomScale="55" zoomScaleNormal="60" zoomScaleSheetLayoutView="55" workbookViewId="0">
      <pane ySplit="1" topLeftCell="A5" activePane="bottomLeft" state="frozen"/>
      <selection pane="bottomLeft" activeCell="T2" sqref="T2"/>
    </sheetView>
  </sheetViews>
  <sheetFormatPr defaultColWidth="9.140625" defaultRowHeight="15" x14ac:dyDescent="0.25"/>
  <cols>
    <col min="1" max="1" width="9.140625" style="193"/>
    <col min="2" max="2" width="19.28515625" style="193" customWidth="1"/>
    <col min="3" max="3" width="17.7109375" style="1" customWidth="1"/>
    <col min="4" max="7" width="9.140625" style="1"/>
    <col min="8" max="8" width="16.7109375" style="1" customWidth="1"/>
    <col min="9" max="9" width="17.7109375" style="1" customWidth="1"/>
    <col min="10" max="10" width="24.5703125" style="1" customWidth="1"/>
    <col min="11" max="11" width="21.42578125" style="1" customWidth="1"/>
    <col min="12" max="12" width="25.7109375" style="1" customWidth="1"/>
    <col min="13" max="13" width="49.42578125" style="1" customWidth="1"/>
    <col min="14" max="14" width="24.7109375" style="1" customWidth="1"/>
    <col min="15" max="15" width="27.42578125" style="1" customWidth="1"/>
    <col min="16" max="16" width="50.140625" style="1" customWidth="1"/>
    <col min="17" max="17" width="35.28515625" style="1" customWidth="1"/>
    <col min="18" max="18" width="33.85546875" style="1" customWidth="1"/>
    <col min="19" max="19" width="25" style="1" customWidth="1"/>
    <col min="20" max="20" width="37" style="1" customWidth="1"/>
    <col min="21" max="16384" width="9.140625" style="1"/>
  </cols>
  <sheetData>
    <row r="1" spans="1:20" s="148" customFormat="1" ht="48" thickBot="1" x14ac:dyDescent="0.3">
      <c r="A1" s="147" t="s">
        <v>0</v>
      </c>
      <c r="B1" s="147" t="s">
        <v>1</v>
      </c>
      <c r="C1" s="147" t="s">
        <v>43</v>
      </c>
      <c r="D1" s="147" t="s">
        <v>2</v>
      </c>
      <c r="E1" s="147" t="s">
        <v>3</v>
      </c>
      <c r="F1" s="147" t="s">
        <v>4</v>
      </c>
      <c r="G1" s="147" t="s">
        <v>5</v>
      </c>
      <c r="H1" s="147" t="s">
        <v>38</v>
      </c>
      <c r="I1" s="147" t="s">
        <v>6</v>
      </c>
      <c r="J1" s="147" t="s">
        <v>7</v>
      </c>
      <c r="K1" s="147" t="s">
        <v>8</v>
      </c>
      <c r="L1" s="147" t="s">
        <v>27</v>
      </c>
      <c r="M1" s="147" t="s">
        <v>9</v>
      </c>
      <c r="N1" s="147" t="s">
        <v>10</v>
      </c>
      <c r="O1" s="147" t="s">
        <v>11</v>
      </c>
      <c r="P1" s="147" t="s">
        <v>12</v>
      </c>
      <c r="Q1" s="147" t="s">
        <v>13</v>
      </c>
      <c r="R1" s="147" t="s">
        <v>14</v>
      </c>
      <c r="S1" s="147" t="s">
        <v>15</v>
      </c>
      <c r="T1" s="147" t="s">
        <v>16</v>
      </c>
    </row>
    <row r="2" spans="1:20" ht="143.25" thickBot="1" x14ac:dyDescent="0.3">
      <c r="A2" s="94" t="s">
        <v>659</v>
      </c>
      <c r="B2" s="40" t="s">
        <v>28</v>
      </c>
      <c r="C2" s="2" t="s">
        <v>1071</v>
      </c>
      <c r="D2" s="2" t="s">
        <v>34</v>
      </c>
      <c r="E2" s="2"/>
      <c r="F2" s="33">
        <v>0</v>
      </c>
      <c r="G2" s="2">
        <v>24.96</v>
      </c>
      <c r="H2" s="2" t="s">
        <v>1072</v>
      </c>
      <c r="I2" s="2">
        <v>29.96</v>
      </c>
      <c r="J2" s="36" t="s">
        <v>39</v>
      </c>
      <c r="K2" s="1" t="s">
        <v>45</v>
      </c>
      <c r="L2" s="37" t="s">
        <v>1073</v>
      </c>
      <c r="M2" s="3" t="s">
        <v>647</v>
      </c>
      <c r="N2" s="131" t="s">
        <v>1119</v>
      </c>
      <c r="O2" s="2" t="s">
        <v>59</v>
      </c>
      <c r="P2" s="2" t="s">
        <v>53</v>
      </c>
      <c r="Q2" s="2" t="s">
        <v>648</v>
      </c>
      <c r="R2" s="2" t="s">
        <v>1074</v>
      </c>
      <c r="S2" s="2" t="s">
        <v>356</v>
      </c>
      <c r="T2" s="2" t="s">
        <v>350</v>
      </c>
    </row>
    <row r="3" spans="1:20" ht="129" thickBot="1" x14ac:dyDescent="0.3">
      <c r="A3" s="94" t="s">
        <v>363</v>
      </c>
      <c r="B3" s="40" t="s">
        <v>29</v>
      </c>
      <c r="C3" s="2" t="s">
        <v>1071</v>
      </c>
      <c r="D3" s="2" t="s">
        <v>34</v>
      </c>
      <c r="E3" s="2"/>
      <c r="F3" s="34">
        <v>0</v>
      </c>
      <c r="G3" s="2">
        <v>42.2</v>
      </c>
      <c r="H3" s="2" t="s">
        <v>1075</v>
      </c>
      <c r="I3" s="2">
        <v>49.99</v>
      </c>
      <c r="J3" s="38" t="s">
        <v>40</v>
      </c>
      <c r="K3" s="2" t="s">
        <v>46</v>
      </c>
      <c r="L3" s="2" t="s">
        <v>1076</v>
      </c>
      <c r="M3" s="4" t="s">
        <v>1077</v>
      </c>
      <c r="N3" s="132" t="s">
        <v>1120</v>
      </c>
      <c r="O3" s="2" t="s">
        <v>60</v>
      </c>
      <c r="P3" s="2" t="s">
        <v>54</v>
      </c>
      <c r="Q3" s="2" t="s">
        <v>649</v>
      </c>
      <c r="R3" s="2" t="s">
        <v>26</v>
      </c>
      <c r="S3" s="36" t="s">
        <v>357</v>
      </c>
      <c r="T3" s="2" t="s">
        <v>351</v>
      </c>
    </row>
    <row r="4" spans="1:20" ht="135.75" thickBot="1" x14ac:dyDescent="0.3">
      <c r="A4" s="94" t="s">
        <v>364</v>
      </c>
      <c r="B4" s="40" t="s">
        <v>1078</v>
      </c>
      <c r="C4" s="2" t="s">
        <v>1071</v>
      </c>
      <c r="D4" s="2" t="s">
        <v>35</v>
      </c>
      <c r="E4" s="37"/>
      <c r="F4" s="34">
        <v>250</v>
      </c>
      <c r="G4" s="2">
        <v>6.48</v>
      </c>
      <c r="H4" s="2">
        <v>7.79</v>
      </c>
      <c r="I4" s="2">
        <v>340.5</v>
      </c>
      <c r="J4" s="2" t="s">
        <v>41</v>
      </c>
      <c r="K4" s="2" t="s">
        <v>47</v>
      </c>
      <c r="L4" s="2" t="s">
        <v>1079</v>
      </c>
      <c r="M4" s="4" t="s">
        <v>1080</v>
      </c>
      <c r="N4" s="132" t="s">
        <v>1121</v>
      </c>
      <c r="O4" s="2" t="s">
        <v>1081</v>
      </c>
      <c r="P4" s="2" t="s">
        <v>1082</v>
      </c>
      <c r="Q4" s="2" t="s">
        <v>650</v>
      </c>
      <c r="R4" s="2" t="s">
        <v>1083</v>
      </c>
      <c r="S4" s="36" t="s">
        <v>358</v>
      </c>
      <c r="T4" s="2" t="s">
        <v>1084</v>
      </c>
    </row>
    <row r="5" spans="1:20" ht="100.5" thickBot="1" x14ac:dyDescent="0.3">
      <c r="A5" s="191" t="s">
        <v>365</v>
      </c>
      <c r="B5" s="40" t="s">
        <v>30</v>
      </c>
      <c r="C5" s="2" t="s">
        <v>1071</v>
      </c>
      <c r="D5" s="2" t="s">
        <v>34</v>
      </c>
      <c r="E5" s="37"/>
      <c r="F5" s="33">
        <v>0</v>
      </c>
      <c r="G5" s="2">
        <v>9.68</v>
      </c>
      <c r="H5" s="2" t="s">
        <v>1085</v>
      </c>
      <c r="I5" s="2">
        <v>13.32</v>
      </c>
      <c r="J5" s="5" t="s">
        <v>1086</v>
      </c>
      <c r="K5" s="2" t="s">
        <v>48</v>
      </c>
      <c r="L5" s="2" t="s">
        <v>1087</v>
      </c>
      <c r="M5" s="3" t="s">
        <v>651</v>
      </c>
      <c r="N5" s="132" t="s">
        <v>1122</v>
      </c>
      <c r="O5" s="2" t="s">
        <v>62</v>
      </c>
      <c r="P5" s="2" t="s">
        <v>55</v>
      </c>
      <c r="Q5" s="2" t="s">
        <v>652</v>
      </c>
      <c r="R5" s="2" t="s">
        <v>63</v>
      </c>
      <c r="S5" s="2" t="s">
        <v>359</v>
      </c>
      <c r="T5" s="2" t="s">
        <v>352</v>
      </c>
    </row>
    <row r="6" spans="1:20" ht="143.25" thickBot="1" x14ac:dyDescent="0.3">
      <c r="A6" s="191" t="s">
        <v>366</v>
      </c>
      <c r="B6" s="40" t="s">
        <v>31</v>
      </c>
      <c r="C6" s="2" t="s">
        <v>1071</v>
      </c>
      <c r="D6" s="2" t="s">
        <v>36</v>
      </c>
      <c r="E6" s="37"/>
      <c r="F6" s="34">
        <v>0</v>
      </c>
      <c r="G6" s="2">
        <v>20</v>
      </c>
      <c r="H6" s="2">
        <v>3.64</v>
      </c>
      <c r="I6" s="2">
        <v>40</v>
      </c>
      <c r="J6" s="2" t="s">
        <v>42</v>
      </c>
      <c r="K6" s="2" t="s">
        <v>49</v>
      </c>
      <c r="L6" s="2" t="s">
        <v>50</v>
      </c>
      <c r="M6" s="4" t="s">
        <v>653</v>
      </c>
      <c r="N6" s="132" t="s">
        <v>1123</v>
      </c>
      <c r="O6" s="2" t="s">
        <v>1096</v>
      </c>
      <c r="P6" s="2" t="s">
        <v>56</v>
      </c>
      <c r="Q6" s="7" t="s">
        <v>654</v>
      </c>
      <c r="R6" s="2" t="s">
        <v>61</v>
      </c>
      <c r="S6" s="2" t="s">
        <v>360</v>
      </c>
      <c r="T6" s="2" t="s">
        <v>353</v>
      </c>
    </row>
    <row r="7" spans="1:20" s="49" customFormat="1" ht="101.25" thickBot="1" x14ac:dyDescent="0.3">
      <c r="A7" s="192" t="s">
        <v>367</v>
      </c>
      <c r="B7" s="40" t="s">
        <v>32</v>
      </c>
      <c r="C7" s="41" t="s">
        <v>1071</v>
      </c>
      <c r="D7" s="41" t="s">
        <v>44</v>
      </c>
      <c r="E7" s="140" t="s">
        <v>36</v>
      </c>
      <c r="F7" s="33">
        <v>0</v>
      </c>
      <c r="G7" s="41">
        <v>24.98</v>
      </c>
      <c r="H7" s="41" t="s">
        <v>1088</v>
      </c>
      <c r="I7" s="41">
        <v>32.979999999999997</v>
      </c>
      <c r="J7" s="141" t="s">
        <v>1089</v>
      </c>
      <c r="K7" s="41" t="s">
        <v>51</v>
      </c>
      <c r="L7" s="41" t="s">
        <v>1090</v>
      </c>
      <c r="M7" s="142" t="s">
        <v>655</v>
      </c>
      <c r="N7" s="143" t="s">
        <v>1124</v>
      </c>
      <c r="O7" s="41" t="s">
        <v>1091</v>
      </c>
      <c r="P7" s="41" t="s">
        <v>58</v>
      </c>
      <c r="Q7" s="16" t="s">
        <v>656</v>
      </c>
      <c r="R7" s="41" t="s">
        <v>1097</v>
      </c>
      <c r="S7" s="41" t="s">
        <v>361</v>
      </c>
      <c r="T7" s="41" t="s">
        <v>354</v>
      </c>
    </row>
    <row r="8" spans="1:20" ht="144" thickBot="1" x14ac:dyDescent="0.3">
      <c r="A8" s="191" t="s">
        <v>368</v>
      </c>
      <c r="B8" s="40" t="s">
        <v>33</v>
      </c>
      <c r="C8" s="2" t="s">
        <v>1071</v>
      </c>
      <c r="D8" s="2" t="s">
        <v>37</v>
      </c>
      <c r="E8" s="37"/>
      <c r="F8" s="34">
        <v>0</v>
      </c>
      <c r="G8" s="35">
        <v>40</v>
      </c>
      <c r="H8" s="2">
        <v>8</v>
      </c>
      <c r="I8" s="2">
        <v>81</v>
      </c>
      <c r="J8" s="5" t="s">
        <v>1092</v>
      </c>
      <c r="K8" s="2" t="s">
        <v>52</v>
      </c>
      <c r="L8" s="2" t="s">
        <v>1093</v>
      </c>
      <c r="M8" s="4" t="s">
        <v>657</v>
      </c>
      <c r="N8" s="132" t="s">
        <v>1125</v>
      </c>
      <c r="O8" s="2" t="s">
        <v>1094</v>
      </c>
      <c r="P8" s="2" t="s">
        <v>57</v>
      </c>
      <c r="Q8" s="7" t="s">
        <v>658</v>
      </c>
      <c r="R8" s="2" t="s">
        <v>1095</v>
      </c>
      <c r="S8" s="2" t="s">
        <v>362</v>
      </c>
      <c r="T8" s="2" t="s">
        <v>355</v>
      </c>
    </row>
  </sheetData>
  <pageMargins left="0.7" right="0.7" top="0.75" bottom="0.75" header="0.3" footer="0.3"/>
  <pageSetup paperSize="9" scale="1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246C2-7B23-40B2-9DCF-FCCE6CC66582}">
  <dimension ref="A1:T8"/>
  <sheetViews>
    <sheetView view="pageBreakPreview" zoomScale="70" zoomScaleNormal="60" zoomScaleSheetLayoutView="70" workbookViewId="0">
      <pane ySplit="1" topLeftCell="A2" activePane="bottomLeft" state="frozen"/>
      <selection pane="bottomLeft" activeCell="N2" sqref="N2"/>
    </sheetView>
  </sheetViews>
  <sheetFormatPr defaultColWidth="9.140625" defaultRowHeight="15" x14ac:dyDescent="0.25"/>
  <cols>
    <col min="1" max="1" width="9.140625" style="17"/>
    <col min="2" max="2" width="19.28515625" style="14" customWidth="1"/>
    <col min="3" max="3" width="16.140625" style="14" customWidth="1"/>
    <col min="4" max="4" width="19.42578125" style="14" customWidth="1"/>
    <col min="5" max="5" width="14.42578125" style="14" customWidth="1"/>
    <col min="6" max="6" width="8.5703125" style="14" customWidth="1"/>
    <col min="7" max="7" width="14.28515625" style="14" customWidth="1"/>
    <col min="8" max="8" width="12.42578125" style="14" customWidth="1"/>
    <col min="9" max="9" width="14.140625" style="14" customWidth="1"/>
    <col min="10" max="10" width="16.5703125" style="14" customWidth="1"/>
    <col min="11" max="11" width="19.28515625" style="14" customWidth="1"/>
    <col min="12" max="12" width="30.7109375" style="14" customWidth="1"/>
    <col min="13" max="13" width="43.28515625" style="14" customWidth="1"/>
    <col min="14" max="14" width="27.28515625" style="14" customWidth="1"/>
    <col min="15" max="15" width="21.140625" style="14" customWidth="1"/>
    <col min="16" max="16" width="39" style="14" customWidth="1"/>
    <col min="17" max="17" width="30.5703125" style="20" customWidth="1"/>
    <col min="18" max="18" width="27.5703125" style="14" customWidth="1"/>
    <col min="19" max="19" width="22.7109375" style="20" customWidth="1"/>
    <col min="20" max="20" width="44.5703125" style="14" customWidth="1"/>
    <col min="21" max="16384" width="9.140625" style="14"/>
  </cols>
  <sheetData>
    <row r="1" spans="1:20" s="146" customFormat="1" ht="47.25" x14ac:dyDescent="0.25">
      <c r="A1" s="144" t="s">
        <v>0</v>
      </c>
      <c r="B1" s="144" t="s">
        <v>1</v>
      </c>
      <c r="C1" s="144" t="s">
        <v>952</v>
      </c>
      <c r="D1" s="144" t="s">
        <v>2</v>
      </c>
      <c r="E1" s="144" t="s">
        <v>3</v>
      </c>
      <c r="F1" s="144" t="s">
        <v>4</v>
      </c>
      <c r="G1" s="144" t="s">
        <v>5</v>
      </c>
      <c r="H1" s="144" t="s">
        <v>38</v>
      </c>
      <c r="I1" s="144" t="s">
        <v>6</v>
      </c>
      <c r="J1" s="144" t="s">
        <v>7</v>
      </c>
      <c r="K1" s="144" t="s">
        <v>8</v>
      </c>
      <c r="L1" s="144" t="s">
        <v>27</v>
      </c>
      <c r="M1" s="144" t="s">
        <v>9</v>
      </c>
      <c r="N1" s="144" t="s">
        <v>10</v>
      </c>
      <c r="O1" s="144" t="s">
        <v>11</v>
      </c>
      <c r="P1" s="144" t="s">
        <v>12</v>
      </c>
      <c r="Q1" s="145" t="s">
        <v>13</v>
      </c>
      <c r="R1" s="145" t="s">
        <v>14</v>
      </c>
      <c r="S1" s="145" t="s">
        <v>15</v>
      </c>
      <c r="T1" s="145" t="s">
        <v>16</v>
      </c>
    </row>
    <row r="2" spans="1:20" ht="140.25" x14ac:dyDescent="0.25">
      <c r="A2" s="6" t="s">
        <v>93</v>
      </c>
      <c r="B2" s="6" t="s">
        <v>66</v>
      </c>
      <c r="C2" s="7" t="s">
        <v>953</v>
      </c>
      <c r="D2" s="8" t="s">
        <v>94</v>
      </c>
      <c r="E2" s="9" t="s">
        <v>95</v>
      </c>
      <c r="F2" s="10">
        <v>0</v>
      </c>
      <c r="G2" s="133">
        <v>10</v>
      </c>
      <c r="H2" s="134" t="s">
        <v>954</v>
      </c>
      <c r="I2" s="134" t="s">
        <v>77</v>
      </c>
      <c r="J2" s="32" t="s">
        <v>73</v>
      </c>
      <c r="K2" s="11" t="s">
        <v>85</v>
      </c>
      <c r="L2" s="135" t="s">
        <v>955</v>
      </c>
      <c r="M2" s="134" t="s">
        <v>81</v>
      </c>
      <c r="N2" s="136" t="s">
        <v>1254</v>
      </c>
      <c r="O2" s="134" t="s">
        <v>96</v>
      </c>
      <c r="P2" s="134" t="s">
        <v>89</v>
      </c>
      <c r="Q2" s="137" t="s">
        <v>1126</v>
      </c>
      <c r="R2" s="137" t="s">
        <v>92</v>
      </c>
      <c r="S2" s="137" t="s">
        <v>957</v>
      </c>
      <c r="T2" s="137" t="s">
        <v>956</v>
      </c>
    </row>
    <row r="3" spans="1:20" ht="114.6" customHeight="1" x14ac:dyDescent="0.2">
      <c r="A3" s="6" t="s">
        <v>97</v>
      </c>
      <c r="B3" s="6" t="s">
        <v>67</v>
      </c>
      <c r="C3" s="7" t="s">
        <v>70</v>
      </c>
      <c r="D3" s="7" t="s">
        <v>72</v>
      </c>
      <c r="E3" s="7" t="s">
        <v>98</v>
      </c>
      <c r="F3" s="15">
        <v>0</v>
      </c>
      <c r="G3" s="134">
        <v>11.15</v>
      </c>
      <c r="H3" s="134" t="s">
        <v>402</v>
      </c>
      <c r="I3" s="15" t="s">
        <v>78</v>
      </c>
      <c r="J3" s="134" t="s">
        <v>74</v>
      </c>
      <c r="K3" s="134" t="s">
        <v>86</v>
      </c>
      <c r="L3" s="134" t="s">
        <v>99</v>
      </c>
      <c r="M3" s="134" t="s">
        <v>82</v>
      </c>
      <c r="N3" s="138" t="s">
        <v>1127</v>
      </c>
      <c r="O3" s="134" t="s">
        <v>100</v>
      </c>
      <c r="P3" s="134" t="s">
        <v>101</v>
      </c>
      <c r="Q3" s="137" t="s">
        <v>1128</v>
      </c>
      <c r="R3" s="137" t="s">
        <v>102</v>
      </c>
      <c r="S3" s="139" t="s">
        <v>961</v>
      </c>
      <c r="T3" s="137" t="s">
        <v>960</v>
      </c>
    </row>
    <row r="4" spans="1:20" ht="114.75" x14ac:dyDescent="0.2">
      <c r="A4" s="6" t="s">
        <v>103</v>
      </c>
      <c r="B4" s="6" t="s">
        <v>68</v>
      </c>
      <c r="C4" s="7" t="s">
        <v>36</v>
      </c>
      <c r="D4" s="7" t="s">
        <v>104</v>
      </c>
      <c r="E4" s="12" t="s">
        <v>105</v>
      </c>
      <c r="F4" s="15">
        <v>0</v>
      </c>
      <c r="G4" s="134">
        <v>9.9949999999999992</v>
      </c>
      <c r="H4" s="134"/>
      <c r="I4" s="134" t="s">
        <v>79</v>
      </c>
      <c r="J4" s="32" t="s">
        <v>75</v>
      </c>
      <c r="K4" s="134" t="s">
        <v>87</v>
      </c>
      <c r="L4" s="134" t="s">
        <v>106</v>
      </c>
      <c r="M4" s="134" t="s">
        <v>83</v>
      </c>
      <c r="N4" s="138" t="s">
        <v>1252</v>
      </c>
      <c r="O4" s="134" t="s">
        <v>107</v>
      </c>
      <c r="P4" s="134" t="s">
        <v>90</v>
      </c>
      <c r="Q4" s="137" t="s">
        <v>1129</v>
      </c>
      <c r="R4" s="137" t="s">
        <v>108</v>
      </c>
      <c r="S4" s="137" t="s">
        <v>369</v>
      </c>
      <c r="T4" s="137" t="s">
        <v>192</v>
      </c>
    </row>
    <row r="5" spans="1:20" ht="141" customHeight="1" x14ac:dyDescent="0.25">
      <c r="A5" s="6" t="s">
        <v>109</v>
      </c>
      <c r="B5" s="6" t="s">
        <v>69</v>
      </c>
      <c r="C5" s="7" t="s">
        <v>71</v>
      </c>
      <c r="D5" s="7" t="s">
        <v>110</v>
      </c>
      <c r="E5" s="7" t="s">
        <v>111</v>
      </c>
      <c r="F5" s="10">
        <v>0</v>
      </c>
      <c r="G5" s="134">
        <v>5</v>
      </c>
      <c r="H5" s="134"/>
      <c r="I5" s="32" t="s">
        <v>80</v>
      </c>
      <c r="J5" s="32" t="s">
        <v>76</v>
      </c>
      <c r="K5" s="134" t="s">
        <v>88</v>
      </c>
      <c r="L5" s="134" t="s">
        <v>112</v>
      </c>
      <c r="M5" s="134" t="s">
        <v>84</v>
      </c>
      <c r="N5" s="134" t="s">
        <v>1253</v>
      </c>
      <c r="O5" s="134" t="s">
        <v>113</v>
      </c>
      <c r="P5" s="134" t="s">
        <v>91</v>
      </c>
      <c r="Q5" s="137" t="s">
        <v>1130</v>
      </c>
      <c r="R5" s="137" t="s">
        <v>114</v>
      </c>
      <c r="S5" s="137" t="s">
        <v>370</v>
      </c>
      <c r="T5" s="137" t="s">
        <v>193</v>
      </c>
    </row>
    <row r="6" spans="1:20" x14ac:dyDescent="0.25">
      <c r="B6" s="17"/>
      <c r="F6" s="18"/>
      <c r="M6" s="19"/>
    </row>
    <row r="7" spans="1:20" x14ac:dyDescent="0.25">
      <c r="B7" s="17"/>
      <c r="F7" s="21"/>
      <c r="J7" s="22"/>
      <c r="M7" s="23"/>
    </row>
    <row r="8" spans="1:20" ht="184.15" customHeight="1" x14ac:dyDescent="0.25">
      <c r="B8" s="17"/>
      <c r="F8" s="18"/>
      <c r="G8" s="24"/>
      <c r="J8" s="22"/>
      <c r="M8" s="19"/>
    </row>
  </sheetData>
  <pageMargins left="0.7" right="0.7" top="0.75" bottom="0.75" header="0.3" footer="0.3"/>
  <pageSetup paperSize="9" scale="1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EE8D3-9D80-4CB9-87D9-36050583B93F}">
  <dimension ref="A1:U36"/>
  <sheetViews>
    <sheetView view="pageBreakPreview" zoomScale="60" zoomScaleNormal="329" workbookViewId="0">
      <pane ySplit="1" topLeftCell="A22" activePane="bottomLeft" state="frozen"/>
      <selection activeCell="B1" sqref="B1"/>
      <selection pane="bottomLeft" activeCell="C8" sqref="C8"/>
    </sheetView>
  </sheetViews>
  <sheetFormatPr defaultColWidth="9.140625" defaultRowHeight="76.150000000000006" customHeight="1" x14ac:dyDescent="0.25"/>
  <cols>
    <col min="1" max="1" width="17.140625" style="17" customWidth="1"/>
    <col min="2" max="2" width="48" style="17" customWidth="1"/>
    <col min="3" max="3" width="33.28515625" style="14" customWidth="1"/>
    <col min="4" max="4" width="18.28515625" style="14" customWidth="1"/>
    <col min="5" max="5" width="20.140625" style="14" bestFit="1" customWidth="1"/>
    <col min="6" max="6" width="9.140625" style="14"/>
    <col min="7" max="7" width="10.28515625" style="29" customWidth="1"/>
    <col min="8" max="8" width="11.28515625" style="29" customWidth="1"/>
    <col min="9" max="9" width="17.7109375" style="30" customWidth="1"/>
    <col min="10" max="10" width="16.5703125" style="14" customWidth="1"/>
    <col min="11" max="11" width="29" style="14" customWidth="1"/>
    <col min="12" max="12" width="26.7109375" style="14" customWidth="1"/>
    <col min="13" max="13" width="43.28515625" style="14" customWidth="1"/>
    <col min="14" max="14" width="17.5703125" style="14" customWidth="1"/>
    <col min="15" max="15" width="21.140625" style="14" customWidth="1"/>
    <col min="16" max="16" width="39" style="14" customWidth="1"/>
    <col min="17" max="17" width="18.5703125" style="14" customWidth="1"/>
    <col min="18" max="18" width="27.5703125" style="14" customWidth="1"/>
    <col min="19" max="19" width="28.7109375" style="14" customWidth="1"/>
    <col min="20" max="20" width="32.28515625" style="14" customWidth="1"/>
    <col min="21" max="74" width="9.140625" style="14"/>
    <col min="75" max="75" width="9.140625" style="14" customWidth="1"/>
    <col min="76" max="16384" width="9.140625" style="14"/>
  </cols>
  <sheetData>
    <row r="1" spans="1:21" s="146" customFormat="1" ht="76.150000000000006" customHeight="1" x14ac:dyDescent="0.25">
      <c r="A1" s="144" t="s">
        <v>0</v>
      </c>
      <c r="B1" s="144" t="s">
        <v>1</v>
      </c>
      <c r="C1" s="144" t="s">
        <v>64</v>
      </c>
      <c r="D1" s="144" t="s">
        <v>2</v>
      </c>
      <c r="E1" s="144" t="s">
        <v>611</v>
      </c>
      <c r="F1" s="144" t="s">
        <v>4</v>
      </c>
      <c r="G1" s="149" t="s">
        <v>5</v>
      </c>
      <c r="H1" s="149" t="s">
        <v>38</v>
      </c>
      <c r="I1" s="150" t="s">
        <v>6</v>
      </c>
      <c r="J1" s="144" t="s">
        <v>7</v>
      </c>
      <c r="K1" s="144" t="s">
        <v>8</v>
      </c>
      <c r="L1" s="144" t="s">
        <v>27</v>
      </c>
      <c r="M1" s="144" t="s">
        <v>9</v>
      </c>
      <c r="N1" s="144" t="s">
        <v>10</v>
      </c>
      <c r="O1" s="144" t="s">
        <v>11</v>
      </c>
      <c r="P1" s="144" t="s">
        <v>12</v>
      </c>
      <c r="Q1" s="144" t="s">
        <v>13</v>
      </c>
      <c r="R1" s="144" t="s">
        <v>14</v>
      </c>
      <c r="S1" s="144" t="s">
        <v>15</v>
      </c>
      <c r="T1" s="144" t="s">
        <v>16</v>
      </c>
    </row>
    <row r="2" spans="1:21" ht="76.150000000000006" customHeight="1" x14ac:dyDescent="0.25">
      <c r="A2" s="194" t="s">
        <v>115</v>
      </c>
      <c r="B2" s="194" t="s">
        <v>149</v>
      </c>
      <c r="C2" s="26" t="s">
        <v>644</v>
      </c>
      <c r="D2" s="26" t="s">
        <v>641</v>
      </c>
      <c r="E2" s="26" t="s">
        <v>614</v>
      </c>
      <c r="F2" s="26"/>
      <c r="G2" s="26">
        <v>12.2</v>
      </c>
      <c r="H2" s="26">
        <v>70</v>
      </c>
      <c r="I2" s="26">
        <f>G2+H2</f>
        <v>82.2</v>
      </c>
      <c r="J2" s="26" t="s">
        <v>452</v>
      </c>
      <c r="K2" s="26" t="s">
        <v>453</v>
      </c>
      <c r="L2" s="26" t="s">
        <v>454</v>
      </c>
      <c r="M2" s="26" t="s">
        <v>455</v>
      </c>
      <c r="N2" s="117" t="s">
        <v>1132</v>
      </c>
      <c r="O2" s="26" t="s">
        <v>456</v>
      </c>
      <c r="P2" s="26" t="s">
        <v>457</v>
      </c>
      <c r="Q2" s="26" t="s">
        <v>348</v>
      </c>
      <c r="R2" s="26" t="s">
        <v>458</v>
      </c>
      <c r="S2" s="26" t="s">
        <v>429</v>
      </c>
      <c r="T2" s="26" t="s">
        <v>459</v>
      </c>
      <c r="U2" s="14">
        <v>1000000</v>
      </c>
    </row>
    <row r="3" spans="1:21" ht="76.150000000000006" customHeight="1" x14ac:dyDescent="0.25">
      <c r="A3" s="194" t="s">
        <v>116</v>
      </c>
      <c r="B3" s="194" t="s">
        <v>150</v>
      </c>
      <c r="C3" s="26" t="s">
        <v>645</v>
      </c>
      <c r="D3" s="26" t="s">
        <v>642</v>
      </c>
      <c r="E3" s="26" t="s">
        <v>614</v>
      </c>
      <c r="F3" s="26"/>
      <c r="G3" s="26">
        <v>5</v>
      </c>
      <c r="H3" s="26">
        <v>55.8</v>
      </c>
      <c r="I3" s="26">
        <f t="shared" ref="I3:I7" si="0">G3+H3</f>
        <v>60.8</v>
      </c>
      <c r="J3" s="26" t="s">
        <v>460</v>
      </c>
      <c r="K3" s="26" t="s">
        <v>461</v>
      </c>
      <c r="L3" s="26" t="s">
        <v>462</v>
      </c>
      <c r="M3" s="26" t="s">
        <v>463</v>
      </c>
      <c r="N3" s="117" t="s">
        <v>1133</v>
      </c>
      <c r="O3" s="26" t="s">
        <v>464</v>
      </c>
      <c r="P3" s="26" t="s">
        <v>465</v>
      </c>
      <c r="Q3" s="26" t="s">
        <v>348</v>
      </c>
      <c r="R3" s="26" t="s">
        <v>466</v>
      </c>
      <c r="S3" s="26" t="s">
        <v>467</v>
      </c>
      <c r="T3" s="26" t="s">
        <v>468</v>
      </c>
    </row>
    <row r="4" spans="1:21" ht="76.150000000000006" customHeight="1" x14ac:dyDescent="0.25">
      <c r="A4" s="194" t="s">
        <v>117</v>
      </c>
      <c r="B4" s="194" t="s">
        <v>151</v>
      </c>
      <c r="C4" s="26" t="s">
        <v>36</v>
      </c>
      <c r="D4" s="26" t="s">
        <v>643</v>
      </c>
      <c r="E4" s="26" t="s">
        <v>614</v>
      </c>
      <c r="F4" s="26"/>
      <c r="G4" s="26">
        <v>0.17499999999999999</v>
      </c>
      <c r="H4" s="26">
        <v>0</v>
      </c>
      <c r="I4" s="26">
        <f>G4+H4</f>
        <v>0.17499999999999999</v>
      </c>
      <c r="J4" s="26" t="s">
        <v>470</v>
      </c>
      <c r="K4" s="26" t="s">
        <v>471</v>
      </c>
      <c r="L4" s="26" t="s">
        <v>472</v>
      </c>
      <c r="M4" s="26" t="s">
        <v>404</v>
      </c>
      <c r="N4" s="117" t="s">
        <v>1134</v>
      </c>
      <c r="O4" s="26" t="s">
        <v>473</v>
      </c>
      <c r="P4" s="26" t="s">
        <v>404</v>
      </c>
      <c r="Q4" s="26" t="s">
        <v>401</v>
      </c>
      <c r="R4" s="26" t="s">
        <v>474</v>
      </c>
      <c r="S4" s="26" t="s">
        <v>443</v>
      </c>
      <c r="T4" s="26" t="s">
        <v>475</v>
      </c>
    </row>
    <row r="5" spans="1:21" ht="76.150000000000006" customHeight="1" x14ac:dyDescent="0.25">
      <c r="A5" s="194" t="s">
        <v>118</v>
      </c>
      <c r="B5" s="194" t="s">
        <v>152</v>
      </c>
      <c r="C5" s="26" t="s">
        <v>36</v>
      </c>
      <c r="D5" s="26" t="s">
        <v>190</v>
      </c>
      <c r="E5" s="26" t="s">
        <v>614</v>
      </c>
      <c r="F5" s="26"/>
      <c r="G5" s="26">
        <v>5.52</v>
      </c>
      <c r="H5" s="26">
        <v>7.08</v>
      </c>
      <c r="I5" s="26">
        <f t="shared" si="0"/>
        <v>12.6</v>
      </c>
      <c r="J5" s="26" t="s">
        <v>391</v>
      </c>
      <c r="K5" s="26" t="s">
        <v>392</v>
      </c>
      <c r="L5" s="26" t="s">
        <v>393</v>
      </c>
      <c r="M5" s="26" t="s">
        <v>623</v>
      </c>
      <c r="N5" s="117" t="s">
        <v>1135</v>
      </c>
      <c r="O5" s="26" t="s">
        <v>394</v>
      </c>
      <c r="P5" s="26" t="s">
        <v>191</v>
      </c>
      <c r="Q5" s="26" t="s">
        <v>348</v>
      </c>
      <c r="R5" s="26" t="s">
        <v>395</v>
      </c>
      <c r="S5" s="26" t="s">
        <v>396</v>
      </c>
      <c r="T5" s="26" t="s">
        <v>610</v>
      </c>
    </row>
    <row r="6" spans="1:21" ht="75" customHeight="1" x14ac:dyDescent="0.25">
      <c r="A6" s="194" t="s">
        <v>119</v>
      </c>
      <c r="B6" s="194" t="s">
        <v>153</v>
      </c>
      <c r="C6" s="26" t="s">
        <v>620</v>
      </c>
      <c r="D6" s="26" t="s">
        <v>626</v>
      </c>
      <c r="E6" s="26" t="s">
        <v>614</v>
      </c>
      <c r="F6" s="26"/>
      <c r="G6" s="26">
        <v>0.27889999999999998</v>
      </c>
      <c r="H6" s="26">
        <v>0</v>
      </c>
      <c r="I6" s="26">
        <f t="shared" si="0"/>
        <v>0.27889999999999998</v>
      </c>
      <c r="J6" s="26" t="s">
        <v>476</v>
      </c>
      <c r="K6" s="26" t="s">
        <v>471</v>
      </c>
      <c r="L6" s="26" t="s">
        <v>477</v>
      </c>
      <c r="M6" s="26" t="s">
        <v>404</v>
      </c>
      <c r="N6" s="117" t="s">
        <v>1136</v>
      </c>
      <c r="O6" s="26" t="s">
        <v>478</v>
      </c>
      <c r="P6" s="26" t="s">
        <v>404</v>
      </c>
      <c r="Q6" s="26" t="s">
        <v>401</v>
      </c>
      <c r="R6" s="26" t="s">
        <v>479</v>
      </c>
      <c r="S6" s="26" t="s">
        <v>443</v>
      </c>
      <c r="T6" s="26" t="s">
        <v>480</v>
      </c>
    </row>
    <row r="7" spans="1:21" ht="75" customHeight="1" x14ac:dyDescent="0.25">
      <c r="A7" s="194" t="s">
        <v>120</v>
      </c>
      <c r="B7" s="194" t="s">
        <v>154</v>
      </c>
      <c r="C7" s="26" t="s">
        <v>639</v>
      </c>
      <c r="D7" s="26" t="s">
        <v>640</v>
      </c>
      <c r="E7" s="26" t="s">
        <v>614</v>
      </c>
      <c r="F7" s="26"/>
      <c r="G7" s="26">
        <v>8.1999999999999993</v>
      </c>
      <c r="H7" s="26">
        <v>25.47</v>
      </c>
      <c r="I7" s="26">
        <f t="shared" si="0"/>
        <v>33.67</v>
      </c>
      <c r="J7" s="26" t="s">
        <v>481</v>
      </c>
      <c r="K7" s="26" t="s">
        <v>482</v>
      </c>
      <c r="L7" s="26" t="s">
        <v>483</v>
      </c>
      <c r="M7" s="26" t="s">
        <v>484</v>
      </c>
      <c r="N7" s="117" t="s">
        <v>1137</v>
      </c>
      <c r="O7" s="26" t="s">
        <v>485</v>
      </c>
      <c r="P7" s="26" t="s">
        <v>486</v>
      </c>
      <c r="Q7" s="26" t="s">
        <v>401</v>
      </c>
      <c r="R7" s="26" t="s">
        <v>487</v>
      </c>
      <c r="S7" s="26" t="s">
        <v>488</v>
      </c>
      <c r="T7" s="26" t="s">
        <v>489</v>
      </c>
    </row>
    <row r="8" spans="1:21" ht="76.150000000000006" customHeight="1" x14ac:dyDescent="0.25">
      <c r="A8" s="194" t="s">
        <v>121</v>
      </c>
      <c r="B8" s="194" t="s">
        <v>155</v>
      </c>
      <c r="C8" s="26" t="s">
        <v>646</v>
      </c>
      <c r="D8" s="26" t="s">
        <v>629</v>
      </c>
      <c r="E8" s="26" t="s">
        <v>614</v>
      </c>
      <c r="F8" s="26"/>
      <c r="G8" s="26">
        <v>0.49507499999999999</v>
      </c>
      <c r="H8" s="26">
        <v>0.1472</v>
      </c>
      <c r="I8" s="26">
        <f t="shared" ref="I8:I35" si="1">G8+H8</f>
        <v>0.64227499999999993</v>
      </c>
      <c r="J8" s="26" t="s">
        <v>490</v>
      </c>
      <c r="K8" s="26" t="s">
        <v>471</v>
      </c>
      <c r="L8" s="26" t="s">
        <v>491</v>
      </c>
      <c r="M8" s="26" t="s">
        <v>492</v>
      </c>
      <c r="N8" s="117" t="s">
        <v>1138</v>
      </c>
      <c r="O8" s="26" t="s">
        <v>493</v>
      </c>
      <c r="P8" s="26" t="s">
        <v>494</v>
      </c>
      <c r="Q8" s="26" t="s">
        <v>401</v>
      </c>
      <c r="R8" s="26" t="s">
        <v>495</v>
      </c>
      <c r="S8" s="26" t="s">
        <v>443</v>
      </c>
      <c r="T8" s="26" t="s">
        <v>496</v>
      </c>
    </row>
    <row r="9" spans="1:21" ht="76.150000000000006" customHeight="1" x14ac:dyDescent="0.25">
      <c r="A9" s="194" t="s">
        <v>122</v>
      </c>
      <c r="B9" s="194" t="s">
        <v>156</v>
      </c>
      <c r="C9" s="26" t="s">
        <v>620</v>
      </c>
      <c r="D9" s="26" t="s">
        <v>629</v>
      </c>
      <c r="E9" s="26" t="s">
        <v>614</v>
      </c>
      <c r="F9" s="26"/>
      <c r="G9" s="26">
        <v>3</v>
      </c>
      <c r="H9" s="26">
        <v>11.21</v>
      </c>
      <c r="I9" s="26">
        <f t="shared" si="1"/>
        <v>14.21</v>
      </c>
      <c r="J9" s="26" t="s">
        <v>391</v>
      </c>
      <c r="K9" s="26" t="s">
        <v>497</v>
      </c>
      <c r="L9" s="26" t="s">
        <v>498</v>
      </c>
      <c r="M9" s="26" t="s">
        <v>499</v>
      </c>
      <c r="N9" s="117" t="s">
        <v>1139</v>
      </c>
      <c r="O9" s="26" t="s">
        <v>500</v>
      </c>
      <c r="P9" s="26" t="s">
        <v>501</v>
      </c>
      <c r="Q9" s="26" t="s">
        <v>401</v>
      </c>
      <c r="R9" s="26" t="s">
        <v>502</v>
      </c>
      <c r="S9" s="26" t="s">
        <v>429</v>
      </c>
      <c r="T9" s="26" t="s">
        <v>503</v>
      </c>
    </row>
    <row r="10" spans="1:21" ht="76.150000000000006" customHeight="1" x14ac:dyDescent="0.25">
      <c r="A10" s="194" t="s">
        <v>123</v>
      </c>
      <c r="B10" s="194" t="s">
        <v>157</v>
      </c>
      <c r="C10" s="26" t="s">
        <v>620</v>
      </c>
      <c r="D10" s="26" t="s">
        <v>626</v>
      </c>
      <c r="E10" s="26" t="s">
        <v>617</v>
      </c>
      <c r="F10" s="26"/>
      <c r="G10" s="26">
        <v>0.2</v>
      </c>
      <c r="H10" s="26">
        <v>0</v>
      </c>
      <c r="I10" s="26">
        <f t="shared" si="1"/>
        <v>0.2</v>
      </c>
      <c r="J10" s="26" t="s">
        <v>504</v>
      </c>
      <c r="K10" s="26" t="s">
        <v>471</v>
      </c>
      <c r="L10" s="26" t="s">
        <v>505</v>
      </c>
      <c r="M10" s="26" t="s">
        <v>404</v>
      </c>
      <c r="N10" s="117" t="s">
        <v>1140</v>
      </c>
      <c r="O10" s="26" t="s">
        <v>506</v>
      </c>
      <c r="P10" s="26" t="s">
        <v>507</v>
      </c>
      <c r="Q10" s="26" t="s">
        <v>24</v>
      </c>
      <c r="R10" s="26" t="s">
        <v>508</v>
      </c>
      <c r="S10" s="26" t="s">
        <v>488</v>
      </c>
      <c r="T10" s="26" t="s">
        <v>509</v>
      </c>
    </row>
    <row r="11" spans="1:21" ht="76.150000000000006" customHeight="1" x14ac:dyDescent="0.25">
      <c r="A11" s="194" t="s">
        <v>124</v>
      </c>
      <c r="B11" s="194" t="s">
        <v>158</v>
      </c>
      <c r="C11" s="26" t="s">
        <v>613</v>
      </c>
      <c r="D11" s="26" t="s">
        <v>638</v>
      </c>
      <c r="E11" s="26" t="s">
        <v>614</v>
      </c>
      <c r="F11" s="26"/>
      <c r="G11" s="26">
        <v>0.19750000000000001</v>
      </c>
      <c r="H11" s="26">
        <v>0</v>
      </c>
      <c r="I11" s="26">
        <f t="shared" si="1"/>
        <v>0.19750000000000001</v>
      </c>
      <c r="J11" s="26" t="s">
        <v>510</v>
      </c>
      <c r="K11" s="26" t="s">
        <v>471</v>
      </c>
      <c r="L11" s="26" t="s">
        <v>511</v>
      </c>
      <c r="M11" s="26" t="s">
        <v>404</v>
      </c>
      <c r="N11" s="117" t="s">
        <v>1141</v>
      </c>
      <c r="O11" s="26" t="s">
        <v>512</v>
      </c>
      <c r="P11" s="26" t="s">
        <v>513</v>
      </c>
      <c r="Q11" s="26" t="s">
        <v>401</v>
      </c>
      <c r="R11" s="26" t="s">
        <v>514</v>
      </c>
      <c r="S11" s="26" t="s">
        <v>429</v>
      </c>
      <c r="T11" s="26" t="s">
        <v>515</v>
      </c>
    </row>
    <row r="12" spans="1:21" ht="135" x14ac:dyDescent="0.25">
      <c r="A12" s="194" t="s">
        <v>125</v>
      </c>
      <c r="B12" s="194" t="s">
        <v>159</v>
      </c>
      <c r="C12" s="26" t="s">
        <v>36</v>
      </c>
      <c r="D12" s="26" t="s">
        <v>637</v>
      </c>
      <c r="E12" s="26" t="s">
        <v>617</v>
      </c>
      <c r="F12" s="26"/>
      <c r="G12" s="26">
        <v>3.3</v>
      </c>
      <c r="H12" s="26">
        <v>7.1</v>
      </c>
      <c r="I12" s="26">
        <f t="shared" si="1"/>
        <v>10.399999999999999</v>
      </c>
      <c r="J12" s="26" t="s">
        <v>406</v>
      </c>
      <c r="K12" s="26" t="s">
        <v>407</v>
      </c>
      <c r="L12" s="26" t="s">
        <v>408</v>
      </c>
      <c r="M12" s="26" t="s">
        <v>409</v>
      </c>
      <c r="N12" s="117" t="s">
        <v>1142</v>
      </c>
      <c r="O12" s="26" t="s">
        <v>410</v>
      </c>
      <c r="P12" s="26" t="s">
        <v>411</v>
      </c>
      <c r="Q12" s="26" t="s">
        <v>348</v>
      </c>
      <c r="R12" s="26" t="s">
        <v>412</v>
      </c>
      <c r="S12" s="26" t="s">
        <v>413</v>
      </c>
      <c r="T12" s="26" t="s">
        <v>414</v>
      </c>
    </row>
    <row r="13" spans="1:21" ht="135" x14ac:dyDescent="0.25">
      <c r="A13" s="194" t="s">
        <v>126</v>
      </c>
      <c r="B13" s="194" t="s">
        <v>160</v>
      </c>
      <c r="C13" s="26" t="s">
        <v>620</v>
      </c>
      <c r="D13" s="26" t="s">
        <v>626</v>
      </c>
      <c r="E13" s="26" t="s">
        <v>614</v>
      </c>
      <c r="F13" s="26"/>
      <c r="G13" s="26">
        <v>0</v>
      </c>
      <c r="H13" s="26">
        <v>0</v>
      </c>
      <c r="I13" s="26">
        <f t="shared" si="1"/>
        <v>0</v>
      </c>
      <c r="J13" s="26" t="s">
        <v>516</v>
      </c>
      <c r="K13" s="26" t="s">
        <v>517</v>
      </c>
      <c r="L13" s="26" t="s">
        <v>518</v>
      </c>
      <c r="M13" s="26" t="s">
        <v>519</v>
      </c>
      <c r="N13" s="117" t="s">
        <v>1143</v>
      </c>
      <c r="O13" s="26" t="s">
        <v>520</v>
      </c>
      <c r="P13" s="26" t="s">
        <v>521</v>
      </c>
      <c r="Q13" s="26" t="s">
        <v>348</v>
      </c>
      <c r="R13" s="26" t="s">
        <v>528</v>
      </c>
      <c r="S13" s="26" t="s">
        <v>429</v>
      </c>
      <c r="T13" s="26" t="s">
        <v>529</v>
      </c>
    </row>
    <row r="14" spans="1:21" ht="120" x14ac:dyDescent="0.25">
      <c r="A14" s="194" t="s">
        <v>127</v>
      </c>
      <c r="B14" s="194" t="s">
        <v>161</v>
      </c>
      <c r="C14" s="26"/>
      <c r="D14" s="26"/>
      <c r="E14" s="26" t="s">
        <v>614</v>
      </c>
      <c r="F14" s="26"/>
      <c r="G14" s="26">
        <v>0.88409000000000004</v>
      </c>
      <c r="H14" s="26">
        <v>0.5333</v>
      </c>
      <c r="I14" s="26">
        <f t="shared" si="1"/>
        <v>1.4173900000000001</v>
      </c>
      <c r="J14" s="26" t="s">
        <v>522</v>
      </c>
      <c r="K14" s="26" t="s">
        <v>471</v>
      </c>
      <c r="L14" s="26" t="s">
        <v>523</v>
      </c>
      <c r="M14" s="26" t="s">
        <v>404</v>
      </c>
      <c r="N14" s="117" t="s">
        <v>1144</v>
      </c>
      <c r="O14" s="26" t="s">
        <v>524</v>
      </c>
      <c r="P14" s="26" t="s">
        <v>525</v>
      </c>
      <c r="Q14" s="26" t="s">
        <v>401</v>
      </c>
      <c r="R14" s="26" t="s">
        <v>526</v>
      </c>
      <c r="S14" s="26" t="s">
        <v>429</v>
      </c>
      <c r="T14" s="26" t="s">
        <v>527</v>
      </c>
    </row>
    <row r="15" spans="1:21" ht="135" x14ac:dyDescent="0.25">
      <c r="A15" s="194" t="s">
        <v>128</v>
      </c>
      <c r="B15" s="194" t="s">
        <v>162</v>
      </c>
      <c r="C15" s="26" t="s">
        <v>378</v>
      </c>
      <c r="D15" s="26" t="s">
        <v>636</v>
      </c>
      <c r="E15" s="26" t="s">
        <v>614</v>
      </c>
      <c r="F15" s="26"/>
      <c r="G15" s="26">
        <v>4.0772719999999998</v>
      </c>
      <c r="H15" s="26">
        <v>49.6</v>
      </c>
      <c r="I15" s="26">
        <f t="shared" si="1"/>
        <v>53.677272000000002</v>
      </c>
      <c r="J15" s="26" t="s">
        <v>438</v>
      </c>
      <c r="K15" s="26" t="s">
        <v>267</v>
      </c>
      <c r="L15" s="26" t="s">
        <v>439</v>
      </c>
      <c r="M15" s="26" t="s">
        <v>416</v>
      </c>
      <c r="N15" s="117" t="s">
        <v>1145</v>
      </c>
      <c r="O15" s="26" t="s">
        <v>440</v>
      </c>
      <c r="P15" s="26" t="s">
        <v>441</v>
      </c>
      <c r="Q15" s="26" t="s">
        <v>401</v>
      </c>
      <c r="R15" s="26" t="s">
        <v>442</v>
      </c>
      <c r="S15" s="26" t="s">
        <v>443</v>
      </c>
      <c r="T15" s="26" t="s">
        <v>444</v>
      </c>
    </row>
    <row r="16" spans="1:21" ht="120" x14ac:dyDescent="0.25">
      <c r="A16" s="194" t="s">
        <v>129</v>
      </c>
      <c r="B16" s="194" t="s">
        <v>163</v>
      </c>
      <c r="C16" s="26" t="s">
        <v>397</v>
      </c>
      <c r="D16" s="26"/>
      <c r="E16" s="26"/>
      <c r="F16" s="26"/>
      <c r="G16" s="26">
        <v>0.27994999999999998</v>
      </c>
      <c r="H16" s="26">
        <v>0.68095000000000006</v>
      </c>
      <c r="I16" s="26">
        <f t="shared" si="1"/>
        <v>0.96090000000000009</v>
      </c>
      <c r="J16" s="26">
        <v>2012</v>
      </c>
      <c r="K16" s="26" t="s">
        <v>398</v>
      </c>
      <c r="L16" s="26"/>
      <c r="M16" s="26" t="s">
        <v>405</v>
      </c>
      <c r="N16" s="117" t="s">
        <v>1146</v>
      </c>
      <c r="O16" s="26" t="s">
        <v>403</v>
      </c>
      <c r="P16" s="26" t="s">
        <v>402</v>
      </c>
      <c r="Q16" s="26" t="s">
        <v>401</v>
      </c>
      <c r="R16" s="26" t="s">
        <v>400</v>
      </c>
      <c r="S16" s="26"/>
      <c r="T16" s="26" t="s">
        <v>399</v>
      </c>
    </row>
    <row r="17" spans="1:21" ht="150" x14ac:dyDescent="0.25">
      <c r="A17" s="194" t="s">
        <v>130</v>
      </c>
      <c r="B17" s="194" t="s">
        <v>164</v>
      </c>
      <c r="C17" s="26" t="s">
        <v>620</v>
      </c>
      <c r="D17" s="26" t="s">
        <v>635</v>
      </c>
      <c r="E17" s="26" t="s">
        <v>617</v>
      </c>
      <c r="F17" s="26"/>
      <c r="G17" s="26">
        <v>5.65</v>
      </c>
      <c r="H17" s="26">
        <v>47</v>
      </c>
      <c r="I17" s="26">
        <f t="shared" si="1"/>
        <v>52.65</v>
      </c>
      <c r="J17" s="26" t="s">
        <v>530</v>
      </c>
      <c r="K17" s="26" t="s">
        <v>531</v>
      </c>
      <c r="L17" s="26" t="s">
        <v>532</v>
      </c>
      <c r="M17" s="26" t="s">
        <v>533</v>
      </c>
      <c r="N17" s="117" t="s">
        <v>1147</v>
      </c>
      <c r="O17" s="26" t="s">
        <v>534</v>
      </c>
      <c r="P17" s="26" t="s">
        <v>535</v>
      </c>
      <c r="Q17" s="26" t="s">
        <v>24</v>
      </c>
      <c r="R17" s="26" t="s">
        <v>536</v>
      </c>
      <c r="S17" s="26" t="s">
        <v>488</v>
      </c>
      <c r="T17" s="26" t="s">
        <v>537</v>
      </c>
    </row>
    <row r="18" spans="1:21" ht="60" customHeight="1" x14ac:dyDescent="0.25">
      <c r="A18" s="194" t="s">
        <v>131</v>
      </c>
      <c r="B18" s="194" t="s">
        <v>165</v>
      </c>
      <c r="C18" s="26" t="s">
        <v>634</v>
      </c>
      <c r="D18" s="26" t="s">
        <v>632</v>
      </c>
      <c r="E18" s="26" t="s">
        <v>614</v>
      </c>
      <c r="F18" s="26"/>
      <c r="G18" s="26">
        <v>3</v>
      </c>
      <c r="H18" s="26">
        <v>27.14508</v>
      </c>
      <c r="I18" s="26">
        <f t="shared" si="1"/>
        <v>30.14508</v>
      </c>
      <c r="J18" s="26" t="s">
        <v>538</v>
      </c>
      <c r="K18" s="26" t="s">
        <v>471</v>
      </c>
      <c r="L18" s="26" t="s">
        <v>539</v>
      </c>
      <c r="M18" s="26" t="s">
        <v>540</v>
      </c>
      <c r="N18" s="117" t="s">
        <v>1148</v>
      </c>
      <c r="O18" s="26" t="s">
        <v>541</v>
      </c>
      <c r="P18" s="26" t="s">
        <v>542</v>
      </c>
      <c r="Q18" s="26" t="s">
        <v>401</v>
      </c>
      <c r="R18" s="26" t="s">
        <v>495</v>
      </c>
      <c r="S18" s="26" t="s">
        <v>429</v>
      </c>
      <c r="T18" s="26" t="s">
        <v>543</v>
      </c>
    </row>
    <row r="19" spans="1:21" ht="150" x14ac:dyDescent="0.25">
      <c r="A19" s="194" t="s">
        <v>132</v>
      </c>
      <c r="B19" s="194" t="s">
        <v>166</v>
      </c>
      <c r="C19" s="26" t="s">
        <v>630</v>
      </c>
      <c r="D19" s="26" t="s">
        <v>631</v>
      </c>
      <c r="E19" s="26" t="s">
        <v>614</v>
      </c>
      <c r="F19" s="26"/>
      <c r="G19" s="26">
        <v>4.63</v>
      </c>
      <c r="H19" s="26">
        <v>250.4</v>
      </c>
      <c r="I19" s="26">
        <f t="shared" si="1"/>
        <v>255.03</v>
      </c>
      <c r="J19" s="26" t="s">
        <v>544</v>
      </c>
      <c r="K19" s="26" t="s">
        <v>545</v>
      </c>
      <c r="L19" s="26" t="s">
        <v>546</v>
      </c>
      <c r="M19" s="26" t="s">
        <v>547</v>
      </c>
      <c r="N19" s="117" t="s">
        <v>1149</v>
      </c>
      <c r="O19" s="26" t="s">
        <v>548</v>
      </c>
      <c r="P19" s="26" t="s">
        <v>549</v>
      </c>
      <c r="Q19" s="26" t="s">
        <v>348</v>
      </c>
      <c r="R19" s="26" t="s">
        <v>550</v>
      </c>
      <c r="S19" s="26" t="s">
        <v>551</v>
      </c>
      <c r="T19" s="26" t="s">
        <v>552</v>
      </c>
    </row>
    <row r="20" spans="1:21" ht="120" x14ac:dyDescent="0.25">
      <c r="A20" s="194" t="s">
        <v>133</v>
      </c>
      <c r="B20" s="194" t="s">
        <v>167</v>
      </c>
      <c r="C20" s="26" t="s">
        <v>469</v>
      </c>
      <c r="D20" s="26"/>
      <c r="E20" s="26" t="s">
        <v>614</v>
      </c>
      <c r="F20" s="26"/>
      <c r="G20" s="26">
        <v>0.15</v>
      </c>
      <c r="H20" s="26">
        <v>0.11799999999999999</v>
      </c>
      <c r="I20" s="26">
        <f t="shared" si="1"/>
        <v>0.26800000000000002</v>
      </c>
      <c r="J20" s="26" t="s">
        <v>553</v>
      </c>
      <c r="K20" s="26" t="s">
        <v>471</v>
      </c>
      <c r="L20" s="26" t="s">
        <v>554</v>
      </c>
      <c r="M20" s="26" t="s">
        <v>404</v>
      </c>
      <c r="N20" s="117" t="s">
        <v>1150</v>
      </c>
      <c r="O20" s="26" t="s">
        <v>555</v>
      </c>
      <c r="P20" s="26" t="s">
        <v>556</v>
      </c>
      <c r="Q20" s="26" t="s">
        <v>401</v>
      </c>
      <c r="R20" s="26" t="s">
        <v>557</v>
      </c>
      <c r="S20" s="26" t="s">
        <v>429</v>
      </c>
      <c r="T20" s="26" t="s">
        <v>558</v>
      </c>
    </row>
    <row r="21" spans="1:21" ht="150" x14ac:dyDescent="0.25">
      <c r="A21" s="194" t="s">
        <v>134</v>
      </c>
      <c r="B21" s="194" t="s">
        <v>168</v>
      </c>
      <c r="C21" s="26" t="s">
        <v>620</v>
      </c>
      <c r="D21" s="26" t="s">
        <v>629</v>
      </c>
      <c r="E21" s="26" t="s">
        <v>614</v>
      </c>
      <c r="F21" s="26"/>
      <c r="G21" s="26">
        <v>1.626484</v>
      </c>
      <c r="H21" s="26">
        <v>8.5</v>
      </c>
      <c r="I21" s="26">
        <f t="shared" si="1"/>
        <v>10.126484</v>
      </c>
      <c r="J21" s="26" t="s">
        <v>564</v>
      </c>
      <c r="K21" s="26" t="s">
        <v>471</v>
      </c>
      <c r="L21" s="26" t="s">
        <v>565</v>
      </c>
      <c r="M21" s="26" t="s">
        <v>404</v>
      </c>
      <c r="N21" s="117" t="s">
        <v>1151</v>
      </c>
      <c r="O21" s="26" t="s">
        <v>566</v>
      </c>
      <c r="P21" s="26" t="s">
        <v>567</v>
      </c>
      <c r="Q21" s="26" t="s">
        <v>401</v>
      </c>
      <c r="R21" s="26" t="s">
        <v>568</v>
      </c>
      <c r="S21" s="26" t="s">
        <v>429</v>
      </c>
      <c r="T21" s="26" t="s">
        <v>569</v>
      </c>
    </row>
    <row r="22" spans="1:21" ht="135" x14ac:dyDescent="0.25">
      <c r="A22" s="194" t="s">
        <v>135</v>
      </c>
      <c r="B22" s="194" t="s">
        <v>169</v>
      </c>
      <c r="C22" s="26" t="s">
        <v>620</v>
      </c>
      <c r="D22" s="26" t="s">
        <v>44</v>
      </c>
      <c r="E22" s="26" t="s">
        <v>614</v>
      </c>
      <c r="F22" s="26"/>
      <c r="G22" s="26">
        <v>0.66</v>
      </c>
      <c r="H22" s="26">
        <v>0.66</v>
      </c>
      <c r="I22" s="26">
        <f t="shared" si="1"/>
        <v>1.32</v>
      </c>
      <c r="J22" s="26" t="s">
        <v>559</v>
      </c>
      <c r="K22" s="26" t="s">
        <v>471</v>
      </c>
      <c r="L22" s="26" t="s">
        <v>560</v>
      </c>
      <c r="M22" s="26" t="s">
        <v>404</v>
      </c>
      <c r="N22" s="117" t="s">
        <v>1152</v>
      </c>
      <c r="O22" s="26" t="s">
        <v>561</v>
      </c>
      <c r="P22" s="26" t="s">
        <v>562</v>
      </c>
      <c r="Q22" s="26" t="s">
        <v>401</v>
      </c>
      <c r="R22" s="26" t="s">
        <v>474</v>
      </c>
      <c r="S22" s="26" t="s">
        <v>429</v>
      </c>
      <c r="T22" s="26" t="s">
        <v>563</v>
      </c>
    </row>
    <row r="23" spans="1:21" ht="76.150000000000006" customHeight="1" x14ac:dyDescent="0.25">
      <c r="A23" s="194" t="s">
        <v>136</v>
      </c>
      <c r="B23" s="194" t="s">
        <v>170</v>
      </c>
      <c r="C23" s="26" t="s">
        <v>620</v>
      </c>
      <c r="D23" s="26" t="s">
        <v>633</v>
      </c>
      <c r="E23" s="26" t="s">
        <v>614</v>
      </c>
      <c r="F23" s="26"/>
      <c r="G23" s="26">
        <v>0.456621</v>
      </c>
      <c r="H23" s="26">
        <v>0</v>
      </c>
      <c r="I23" s="26">
        <f t="shared" si="1"/>
        <v>0.456621</v>
      </c>
      <c r="J23" s="26" t="s">
        <v>559</v>
      </c>
      <c r="K23" s="26" t="s">
        <v>471</v>
      </c>
      <c r="L23" s="26" t="s">
        <v>560</v>
      </c>
      <c r="M23" s="26" t="s">
        <v>404</v>
      </c>
      <c r="N23" s="117" t="s">
        <v>1153</v>
      </c>
      <c r="O23" s="26" t="s">
        <v>570</v>
      </c>
      <c r="P23" s="26" t="s">
        <v>571</v>
      </c>
      <c r="Q23" s="26" t="s">
        <v>401</v>
      </c>
      <c r="R23" s="26" t="s">
        <v>474</v>
      </c>
      <c r="S23" s="26" t="s">
        <v>429</v>
      </c>
      <c r="T23" s="26" t="s">
        <v>572</v>
      </c>
    </row>
    <row r="24" spans="1:21" s="27" customFormat="1" ht="76.150000000000006" customHeight="1" x14ac:dyDescent="0.25">
      <c r="A24" s="195" t="s">
        <v>137</v>
      </c>
      <c r="B24" s="195" t="s">
        <v>171</v>
      </c>
      <c r="C24" s="31" t="s">
        <v>628</v>
      </c>
      <c r="D24" s="31" t="s">
        <v>182</v>
      </c>
      <c r="E24" s="31" t="s">
        <v>617</v>
      </c>
      <c r="F24" s="31"/>
      <c r="G24" s="31">
        <v>5.2</v>
      </c>
      <c r="H24" s="31">
        <v>55.032617000000002</v>
      </c>
      <c r="I24" s="31">
        <f t="shared" si="1"/>
        <v>60.232617000000005</v>
      </c>
      <c r="J24" s="31">
        <v>2018</v>
      </c>
      <c r="K24" s="31" t="s">
        <v>349</v>
      </c>
      <c r="L24" s="31" t="s">
        <v>386</v>
      </c>
      <c r="M24" s="31" t="s">
        <v>183</v>
      </c>
      <c r="N24" s="118" t="s">
        <v>1154</v>
      </c>
      <c r="O24" s="31" t="s">
        <v>387</v>
      </c>
      <c r="P24" s="31" t="s">
        <v>184</v>
      </c>
      <c r="Q24" s="31" t="s">
        <v>24</v>
      </c>
      <c r="R24" s="31" t="s">
        <v>388</v>
      </c>
      <c r="S24" s="31" t="s">
        <v>389</v>
      </c>
      <c r="T24" s="31" t="s">
        <v>390</v>
      </c>
    </row>
    <row r="25" spans="1:21" ht="76.150000000000006" customHeight="1" x14ac:dyDescent="0.25">
      <c r="A25" s="194" t="s">
        <v>138</v>
      </c>
      <c r="B25" s="194" t="s">
        <v>172</v>
      </c>
      <c r="C25" s="26" t="s">
        <v>624</v>
      </c>
      <c r="D25" s="26" t="s">
        <v>627</v>
      </c>
      <c r="E25" s="26" t="s">
        <v>617</v>
      </c>
      <c r="F25" s="26"/>
      <c r="G25" s="26">
        <v>5.4251139999999998</v>
      </c>
      <c r="H25" s="26">
        <v>16.350000000000001</v>
      </c>
      <c r="I25" s="26">
        <f t="shared" si="1"/>
        <v>21.775114000000002</v>
      </c>
      <c r="J25" s="26" t="s">
        <v>422</v>
      </c>
      <c r="K25" s="26" t="s">
        <v>423</v>
      </c>
      <c r="L25" s="26" t="s">
        <v>424</v>
      </c>
      <c r="M25" s="26" t="s">
        <v>425</v>
      </c>
      <c r="N25" s="119" t="s">
        <v>1155</v>
      </c>
      <c r="O25" s="7" t="s">
        <v>426</v>
      </c>
      <c r="P25" s="7" t="s">
        <v>427</v>
      </c>
      <c r="Q25" s="7" t="s">
        <v>348</v>
      </c>
      <c r="R25" s="7" t="s">
        <v>428</v>
      </c>
      <c r="S25" s="7" t="s">
        <v>429</v>
      </c>
      <c r="T25" s="7" t="s">
        <v>430</v>
      </c>
    </row>
    <row r="26" spans="1:21" ht="76.150000000000006" customHeight="1" x14ac:dyDescent="0.25">
      <c r="A26" s="194" t="s">
        <v>139</v>
      </c>
      <c r="B26" s="194" t="s">
        <v>173</v>
      </c>
      <c r="C26" s="26" t="s">
        <v>620</v>
      </c>
      <c r="D26" s="26" t="s">
        <v>626</v>
      </c>
      <c r="E26" s="26" t="s">
        <v>614</v>
      </c>
      <c r="F26" s="26"/>
      <c r="G26" s="26">
        <v>0.73059399999999997</v>
      </c>
      <c r="H26" s="26">
        <v>3.28</v>
      </c>
      <c r="I26" s="26">
        <f t="shared" si="1"/>
        <v>4.0105939999999993</v>
      </c>
      <c r="J26" s="26" t="s">
        <v>573</v>
      </c>
      <c r="K26" s="26" t="s">
        <v>574</v>
      </c>
      <c r="L26" s="26" t="s">
        <v>575</v>
      </c>
      <c r="M26" s="26" t="s">
        <v>576</v>
      </c>
      <c r="N26" s="117" t="s">
        <v>1156</v>
      </c>
      <c r="O26" s="26" t="s">
        <v>577</v>
      </c>
      <c r="P26" s="26" t="s">
        <v>578</v>
      </c>
      <c r="Q26" s="26" t="s">
        <v>348</v>
      </c>
      <c r="R26" s="26" t="s">
        <v>579</v>
      </c>
      <c r="S26" s="26" t="s">
        <v>429</v>
      </c>
      <c r="T26" s="26" t="s">
        <v>580</v>
      </c>
    </row>
    <row r="27" spans="1:21" s="7" customFormat="1" ht="76.150000000000006" customHeight="1" x14ac:dyDescent="0.25">
      <c r="A27" s="194" t="s">
        <v>140</v>
      </c>
      <c r="B27" s="194" t="s">
        <v>174</v>
      </c>
      <c r="C27" s="26" t="s">
        <v>36</v>
      </c>
      <c r="D27" s="26"/>
      <c r="E27" s="26" t="s">
        <v>617</v>
      </c>
      <c r="F27" s="26"/>
      <c r="G27" s="26">
        <v>5.7</v>
      </c>
      <c r="H27" s="26">
        <v>15</v>
      </c>
      <c r="I27" s="26">
        <f t="shared" si="1"/>
        <v>20.7</v>
      </c>
      <c r="J27" s="26" t="s">
        <v>371</v>
      </c>
      <c r="K27" s="26" t="s">
        <v>267</v>
      </c>
      <c r="L27" s="26" t="s">
        <v>415</v>
      </c>
      <c r="M27" s="26" t="s">
        <v>416</v>
      </c>
      <c r="N27" s="119" t="s">
        <v>1157</v>
      </c>
      <c r="O27" s="7" t="s">
        <v>417</v>
      </c>
      <c r="P27" s="7" t="s">
        <v>418</v>
      </c>
      <c r="Q27" s="7" t="s">
        <v>401</v>
      </c>
      <c r="R27" s="7" t="s">
        <v>419</v>
      </c>
      <c r="S27" s="7" t="s">
        <v>420</v>
      </c>
      <c r="T27" s="7" t="s">
        <v>421</v>
      </c>
      <c r="U27" s="13"/>
    </row>
    <row r="28" spans="1:21" ht="76.150000000000006" customHeight="1" x14ac:dyDescent="0.25">
      <c r="A28" s="194" t="s">
        <v>141</v>
      </c>
      <c r="B28" s="194" t="s">
        <v>175</v>
      </c>
      <c r="C28" s="26" t="s">
        <v>624</v>
      </c>
      <c r="D28" s="26" t="s">
        <v>625</v>
      </c>
      <c r="E28" s="26" t="s">
        <v>614</v>
      </c>
      <c r="F28" s="26"/>
      <c r="G28" s="26">
        <v>8.2949999999999999</v>
      </c>
      <c r="H28" s="26">
        <v>33.743049999999997</v>
      </c>
      <c r="I28" s="26">
        <f>G28+H28</f>
        <v>42.038049999999998</v>
      </c>
      <c r="J28" s="26" t="s">
        <v>445</v>
      </c>
      <c r="K28" s="26" t="s">
        <v>267</v>
      </c>
      <c r="L28" s="26" t="s">
        <v>446</v>
      </c>
      <c r="M28" s="26" t="s">
        <v>447</v>
      </c>
      <c r="N28" s="119" t="s">
        <v>1158</v>
      </c>
      <c r="O28" s="7" t="s">
        <v>448</v>
      </c>
      <c r="P28" s="7" t="s">
        <v>449</v>
      </c>
      <c r="Q28" s="7" t="s">
        <v>348</v>
      </c>
      <c r="R28" s="7" t="s">
        <v>450</v>
      </c>
      <c r="S28" s="7" t="s">
        <v>443</v>
      </c>
      <c r="T28" s="7" t="s">
        <v>451</v>
      </c>
    </row>
    <row r="29" spans="1:21" ht="76.150000000000006" customHeight="1" x14ac:dyDescent="0.25">
      <c r="A29" s="194" t="s">
        <v>142</v>
      </c>
      <c r="B29" s="194" t="s">
        <v>176</v>
      </c>
      <c r="C29" s="26" t="s">
        <v>36</v>
      </c>
      <c r="D29" s="26" t="s">
        <v>622</v>
      </c>
      <c r="E29" s="26" t="s">
        <v>614</v>
      </c>
      <c r="F29" s="26"/>
      <c r="G29" s="26">
        <v>3.7678099999999999</v>
      </c>
      <c r="H29" s="26">
        <v>65.8</v>
      </c>
      <c r="I29" s="26">
        <f t="shared" si="1"/>
        <v>69.567809999999994</v>
      </c>
      <c r="J29" s="26" t="s">
        <v>431</v>
      </c>
      <c r="K29" s="26" t="s">
        <v>432</v>
      </c>
      <c r="L29" s="26" t="s">
        <v>433</v>
      </c>
      <c r="M29" s="26" t="s">
        <v>416</v>
      </c>
      <c r="N29" s="119" t="s">
        <v>1159</v>
      </c>
      <c r="O29" s="7" t="s">
        <v>434</v>
      </c>
      <c r="P29" s="7" t="s">
        <v>435</v>
      </c>
      <c r="Q29" s="7" t="s">
        <v>401</v>
      </c>
      <c r="R29" s="7" t="s">
        <v>436</v>
      </c>
      <c r="S29" s="7" t="s">
        <v>420</v>
      </c>
      <c r="T29" s="7" t="s">
        <v>437</v>
      </c>
    </row>
    <row r="30" spans="1:21" ht="76.150000000000006" customHeight="1" x14ac:dyDescent="0.25">
      <c r="A30" s="6" t="s">
        <v>143</v>
      </c>
      <c r="B30" s="6" t="s">
        <v>377</v>
      </c>
      <c r="C30" s="32" t="s">
        <v>378</v>
      </c>
      <c r="D30" s="32" t="s">
        <v>379</v>
      </c>
      <c r="E30" s="7" t="s">
        <v>614</v>
      </c>
      <c r="F30" s="28"/>
      <c r="G30" s="7">
        <v>3.0463469999999999</v>
      </c>
      <c r="H30" s="26">
        <v>10.5</v>
      </c>
      <c r="I30" s="26">
        <f t="shared" si="1"/>
        <v>13.546347000000001</v>
      </c>
      <c r="J30" s="26" t="s">
        <v>380</v>
      </c>
      <c r="K30" s="26" t="s">
        <v>381</v>
      </c>
      <c r="L30" s="26" t="s">
        <v>382</v>
      </c>
      <c r="M30" s="26" t="s">
        <v>188</v>
      </c>
      <c r="N30" s="117" t="s">
        <v>1160</v>
      </c>
      <c r="O30" s="26" t="s">
        <v>383</v>
      </c>
      <c r="P30" s="26" t="s">
        <v>189</v>
      </c>
      <c r="Q30" s="26" t="s">
        <v>348</v>
      </c>
      <c r="R30" s="26" t="s">
        <v>384</v>
      </c>
      <c r="S30" s="26"/>
      <c r="T30" s="26" t="s">
        <v>385</v>
      </c>
    </row>
    <row r="31" spans="1:21" ht="76.150000000000006" customHeight="1" x14ac:dyDescent="0.25">
      <c r="A31" s="194" t="s">
        <v>144</v>
      </c>
      <c r="B31" s="194" t="s">
        <v>177</v>
      </c>
      <c r="C31" s="26" t="s">
        <v>620</v>
      </c>
      <c r="D31" s="26" t="s">
        <v>621</v>
      </c>
      <c r="E31" s="26" t="s">
        <v>614</v>
      </c>
      <c r="F31" s="26"/>
      <c r="G31" s="26">
        <v>0.35199999999999998</v>
      </c>
      <c r="H31" s="26">
        <v>0.13700000000000001</v>
      </c>
      <c r="I31" s="26">
        <f t="shared" si="1"/>
        <v>0.48899999999999999</v>
      </c>
      <c r="J31" s="26" t="s">
        <v>581</v>
      </c>
      <c r="K31" s="26" t="s">
        <v>471</v>
      </c>
      <c r="L31" s="26" t="s">
        <v>582</v>
      </c>
      <c r="M31" s="26" t="s">
        <v>404</v>
      </c>
      <c r="N31" s="117" t="s">
        <v>1161</v>
      </c>
      <c r="O31" s="26" t="s">
        <v>583</v>
      </c>
      <c r="P31" s="26" t="s">
        <v>584</v>
      </c>
      <c r="Q31" s="26" t="s">
        <v>401</v>
      </c>
      <c r="R31" s="26" t="s">
        <v>474</v>
      </c>
      <c r="S31" s="26" t="s">
        <v>429</v>
      </c>
      <c r="T31" s="26" t="s">
        <v>585</v>
      </c>
    </row>
    <row r="32" spans="1:21" ht="76.150000000000006" customHeight="1" x14ac:dyDescent="0.25">
      <c r="A32" s="194" t="s">
        <v>145</v>
      </c>
      <c r="B32" s="194" t="s">
        <v>178</v>
      </c>
      <c r="C32" s="26" t="s">
        <v>615</v>
      </c>
      <c r="D32" s="26" t="s">
        <v>618</v>
      </c>
      <c r="E32" s="26" t="s">
        <v>619</v>
      </c>
      <c r="F32" s="26"/>
      <c r="G32" s="26">
        <v>0.86324199999999995</v>
      </c>
      <c r="H32" s="26">
        <v>1</v>
      </c>
      <c r="I32" s="26">
        <f>G32+H32</f>
        <v>1.8632420000000001</v>
      </c>
      <c r="J32" s="26" t="s">
        <v>586</v>
      </c>
      <c r="K32" s="26" t="s">
        <v>471</v>
      </c>
      <c r="L32" s="26" t="s">
        <v>587</v>
      </c>
      <c r="M32" s="26" t="s">
        <v>404</v>
      </c>
      <c r="N32" s="117" t="s">
        <v>1162</v>
      </c>
      <c r="O32" s="26" t="s">
        <v>588</v>
      </c>
      <c r="P32" s="26" t="s">
        <v>589</v>
      </c>
      <c r="Q32" s="26" t="s">
        <v>401</v>
      </c>
      <c r="R32" s="26" t="s">
        <v>590</v>
      </c>
      <c r="S32" s="26" t="s">
        <v>429</v>
      </c>
      <c r="T32" s="26" t="s">
        <v>591</v>
      </c>
    </row>
    <row r="33" spans="1:20" ht="76.150000000000006" customHeight="1" x14ac:dyDescent="0.25">
      <c r="A33" s="194" t="s">
        <v>146</v>
      </c>
      <c r="B33" s="194" t="s">
        <v>179</v>
      </c>
      <c r="C33" s="26" t="s">
        <v>615</v>
      </c>
      <c r="D33" s="26" t="s">
        <v>616</v>
      </c>
      <c r="E33" s="26" t="s">
        <v>617</v>
      </c>
      <c r="F33" s="26"/>
      <c r="G33" s="26">
        <v>47.46</v>
      </c>
      <c r="H33" s="26">
        <v>47.46</v>
      </c>
      <c r="I33" s="26">
        <f t="shared" si="1"/>
        <v>94.92</v>
      </c>
      <c r="J33" s="26" t="s">
        <v>592</v>
      </c>
      <c r="K33" s="26" t="s">
        <v>593</v>
      </c>
      <c r="L33" s="26" t="s">
        <v>594</v>
      </c>
      <c r="M33" s="26" t="s">
        <v>595</v>
      </c>
      <c r="N33" s="117" t="s">
        <v>1163</v>
      </c>
      <c r="O33" s="26" t="s">
        <v>596</v>
      </c>
      <c r="P33" s="26" t="s">
        <v>597</v>
      </c>
      <c r="Q33" s="26" t="s">
        <v>24</v>
      </c>
      <c r="R33" s="26" t="s">
        <v>598</v>
      </c>
      <c r="S33" s="26" t="s">
        <v>599</v>
      </c>
      <c r="T33" s="26" t="s">
        <v>600</v>
      </c>
    </row>
    <row r="34" spans="1:20" ht="76.150000000000006" customHeight="1" x14ac:dyDescent="0.25">
      <c r="A34" s="194" t="s">
        <v>147</v>
      </c>
      <c r="B34" s="194" t="s">
        <v>180</v>
      </c>
      <c r="C34" s="26" t="s">
        <v>613</v>
      </c>
      <c r="D34" s="26" t="s">
        <v>612</v>
      </c>
      <c r="E34" s="26" t="s">
        <v>614</v>
      </c>
      <c r="F34" s="26"/>
      <c r="G34" s="26">
        <v>20.399999999999999</v>
      </c>
      <c r="H34" s="26">
        <v>1.788991</v>
      </c>
      <c r="I34" s="26">
        <f t="shared" si="1"/>
        <v>22.188990999999998</v>
      </c>
      <c r="J34" s="26" t="s">
        <v>601</v>
      </c>
      <c r="K34" s="26" t="s">
        <v>602</v>
      </c>
      <c r="L34" s="26" t="s">
        <v>603</v>
      </c>
      <c r="M34" s="26" t="s">
        <v>604</v>
      </c>
      <c r="N34" s="117" t="s">
        <v>1164</v>
      </c>
      <c r="O34" s="26" t="s">
        <v>605</v>
      </c>
      <c r="P34" s="26" t="s">
        <v>606</v>
      </c>
      <c r="Q34" s="26" t="s">
        <v>348</v>
      </c>
      <c r="R34" s="26" t="s">
        <v>607</v>
      </c>
      <c r="S34" s="26" t="s">
        <v>608</v>
      </c>
      <c r="T34" s="26" t="s">
        <v>609</v>
      </c>
    </row>
    <row r="35" spans="1:20" ht="76.150000000000006" customHeight="1" x14ac:dyDescent="0.25">
      <c r="A35" s="194" t="s">
        <v>148</v>
      </c>
      <c r="B35" s="194" t="s">
        <v>181</v>
      </c>
      <c r="C35" s="26" t="s">
        <v>36</v>
      </c>
      <c r="D35" s="26" t="s">
        <v>185</v>
      </c>
      <c r="E35" s="26" t="s">
        <v>614</v>
      </c>
      <c r="F35" s="26"/>
      <c r="G35" s="26">
        <v>17.2</v>
      </c>
      <c r="H35" s="26">
        <v>4.0509130000000004</v>
      </c>
      <c r="I35" s="26">
        <f t="shared" si="1"/>
        <v>21.250913000000001</v>
      </c>
      <c r="J35" s="26" t="s">
        <v>371</v>
      </c>
      <c r="K35" s="26" t="s">
        <v>372</v>
      </c>
      <c r="L35" s="26" t="s">
        <v>373</v>
      </c>
      <c r="M35" s="26" t="s">
        <v>186</v>
      </c>
      <c r="N35" s="117" t="s">
        <v>1165</v>
      </c>
      <c r="O35" s="26" t="s">
        <v>374</v>
      </c>
      <c r="P35" s="26" t="s">
        <v>187</v>
      </c>
      <c r="Q35" s="26" t="s">
        <v>24</v>
      </c>
      <c r="R35" s="26" t="s">
        <v>375</v>
      </c>
      <c r="S35" s="26" t="s">
        <v>187</v>
      </c>
      <c r="T35" s="26" t="s">
        <v>376</v>
      </c>
    </row>
    <row r="36" spans="1:20" ht="76.150000000000006" customHeight="1" x14ac:dyDescent="0.25">
      <c r="H36" s="14">
        <v>0</v>
      </c>
    </row>
  </sheetData>
  <pageMargins left="0.7" right="0.7" top="0.75" bottom="0.75" header="0.3" footer="0.3"/>
  <pageSetup paperSize="9" scale="10" fitToHeight="0" orientation="portrait" r:id="rId1"/>
  <colBreaks count="1" manualBreakCount="1">
    <brk id="2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016B4-152A-49E3-AC2B-8C90C9879FC2}">
  <dimension ref="A1:W54"/>
  <sheetViews>
    <sheetView view="pageBreakPreview" topLeftCell="G1" zoomScale="70" zoomScaleNormal="70" zoomScaleSheetLayoutView="70" workbookViewId="0">
      <pane ySplit="1" topLeftCell="A2" activePane="bottomLeft" state="frozen"/>
      <selection pane="bottomLeft" activeCell="T13" sqref="T1:T13"/>
    </sheetView>
  </sheetViews>
  <sheetFormatPr defaultColWidth="9.140625" defaultRowHeight="14.25" x14ac:dyDescent="0.25"/>
  <cols>
    <col min="1" max="1" width="11" style="1" customWidth="1"/>
    <col min="2" max="2" width="19.28515625" style="1" customWidth="1"/>
    <col min="3" max="3" width="13" style="1" customWidth="1"/>
    <col min="4" max="4" width="16" style="1" customWidth="1"/>
    <col min="5" max="5" width="16.7109375" style="1" customWidth="1"/>
    <col min="6" max="6" width="10.5703125" style="1" customWidth="1"/>
    <col min="7" max="7" width="9.140625" style="1"/>
    <col min="8" max="8" width="8.28515625" style="1" customWidth="1"/>
    <col min="9" max="9" width="16.28515625" style="1" customWidth="1"/>
    <col min="10" max="10" width="12.140625" style="1" customWidth="1"/>
    <col min="11" max="11" width="13.85546875" style="1" customWidth="1"/>
    <col min="12" max="12" width="18.140625" style="1" customWidth="1"/>
    <col min="13" max="13" width="23.28515625" style="1" customWidth="1"/>
    <col min="14" max="14" width="17.5703125" style="1" customWidth="1"/>
    <col min="15" max="15" width="21.140625" style="1" customWidth="1"/>
    <col min="16" max="16" width="27" style="1" customWidth="1"/>
    <col min="17" max="17" width="10.7109375" style="1" customWidth="1"/>
    <col min="18" max="18" width="12.7109375" style="1" customWidth="1"/>
    <col min="19" max="19" width="45.28515625" style="1" customWidth="1"/>
    <col min="20" max="20" width="30.85546875" style="1" customWidth="1"/>
    <col min="21" max="22" width="9.140625" style="1" customWidth="1"/>
    <col min="23" max="23" width="9.140625" style="1"/>
    <col min="24" max="24" width="9.140625" style="1" customWidth="1"/>
    <col min="25" max="16384" width="9.140625" style="1"/>
  </cols>
  <sheetData>
    <row r="1" spans="1:23" s="146" customFormat="1" ht="78.75" x14ac:dyDescent="0.25">
      <c r="A1" s="144" t="s">
        <v>0</v>
      </c>
      <c r="B1" s="144" t="s">
        <v>1</v>
      </c>
      <c r="C1" s="190" t="s">
        <v>1168</v>
      </c>
      <c r="D1" s="190" t="s">
        <v>65</v>
      </c>
      <c r="E1" s="190" t="s">
        <v>3</v>
      </c>
      <c r="F1" s="190" t="s">
        <v>4</v>
      </c>
      <c r="G1" s="190" t="s">
        <v>5</v>
      </c>
      <c r="H1" s="190" t="s">
        <v>38</v>
      </c>
      <c r="I1" s="190" t="s">
        <v>6</v>
      </c>
      <c r="J1" s="190" t="s">
        <v>7</v>
      </c>
      <c r="K1" s="190" t="s">
        <v>8</v>
      </c>
      <c r="L1" s="190" t="s">
        <v>27</v>
      </c>
      <c r="M1" s="190" t="s">
        <v>9</v>
      </c>
      <c r="N1" s="190" t="s">
        <v>10</v>
      </c>
      <c r="O1" s="190" t="s">
        <v>11</v>
      </c>
      <c r="P1" s="190" t="s">
        <v>12</v>
      </c>
      <c r="Q1" s="190" t="s">
        <v>13</v>
      </c>
      <c r="R1" s="190" t="s">
        <v>14</v>
      </c>
      <c r="S1" s="190" t="s">
        <v>15</v>
      </c>
      <c r="T1" s="144" t="s">
        <v>16</v>
      </c>
      <c r="U1" s="238"/>
      <c r="V1" s="238"/>
      <c r="W1" s="238"/>
    </row>
    <row r="2" spans="1:23" ht="157.5" x14ac:dyDescent="0.2">
      <c r="A2" s="94" t="s">
        <v>799</v>
      </c>
      <c r="B2" s="94" t="s">
        <v>687</v>
      </c>
      <c r="C2" s="2" t="s">
        <v>688</v>
      </c>
      <c r="D2" s="2" t="s">
        <v>20</v>
      </c>
      <c r="E2" s="2" t="s">
        <v>22</v>
      </c>
      <c r="F2" s="95">
        <v>400</v>
      </c>
      <c r="G2" s="2">
        <v>150.5</v>
      </c>
      <c r="H2" s="2" t="s">
        <v>229</v>
      </c>
      <c r="I2" s="2" t="s">
        <v>235</v>
      </c>
      <c r="J2" s="2" t="s">
        <v>689</v>
      </c>
      <c r="K2" s="2" t="s">
        <v>264</v>
      </c>
      <c r="L2" s="2" t="s">
        <v>660</v>
      </c>
      <c r="M2" s="2" t="s">
        <v>798</v>
      </c>
      <c r="N2" s="4" t="s">
        <v>1169</v>
      </c>
      <c r="O2" s="2" t="s">
        <v>690</v>
      </c>
      <c r="P2" s="2" t="s">
        <v>691</v>
      </c>
      <c r="Q2" s="2" t="s">
        <v>301</v>
      </c>
      <c r="R2" s="2" t="s">
        <v>25</v>
      </c>
      <c r="S2" s="2" t="s">
        <v>661</v>
      </c>
      <c r="T2" s="2" t="s">
        <v>275</v>
      </c>
      <c r="U2" s="43"/>
      <c r="V2" s="43"/>
      <c r="W2" s="43"/>
    </row>
    <row r="3" spans="1:23" ht="144" x14ac:dyDescent="0.2">
      <c r="A3" s="94" t="s">
        <v>800</v>
      </c>
      <c r="B3" s="96" t="s">
        <v>692</v>
      </c>
      <c r="C3" s="2" t="s">
        <v>19</v>
      </c>
      <c r="D3" s="2" t="s">
        <v>21</v>
      </c>
      <c r="E3" s="2" t="s">
        <v>23</v>
      </c>
      <c r="F3" s="97">
        <v>300</v>
      </c>
      <c r="G3" s="2" t="s">
        <v>229</v>
      </c>
      <c r="H3" s="2">
        <v>97</v>
      </c>
      <c r="I3" s="2" t="s">
        <v>236</v>
      </c>
      <c r="J3" s="35">
        <v>2021</v>
      </c>
      <c r="K3" s="2" t="s">
        <v>265</v>
      </c>
      <c r="L3" s="2" t="s">
        <v>693</v>
      </c>
      <c r="M3" s="2" t="s">
        <v>797</v>
      </c>
      <c r="N3" s="4" t="s">
        <v>1170</v>
      </c>
      <c r="O3" s="2" t="s">
        <v>694</v>
      </c>
      <c r="P3" s="2" t="s">
        <v>695</v>
      </c>
      <c r="Q3" s="2" t="s">
        <v>302</v>
      </c>
      <c r="R3" s="2" t="s">
        <v>329</v>
      </c>
      <c r="S3" s="2" t="s">
        <v>662</v>
      </c>
      <c r="T3" s="2" t="s">
        <v>276</v>
      </c>
      <c r="U3" s="43"/>
      <c r="V3" s="43"/>
      <c r="W3" s="43"/>
    </row>
    <row r="4" spans="1:23" ht="158.25" x14ac:dyDescent="0.2">
      <c r="A4" s="94" t="s">
        <v>671</v>
      </c>
      <c r="B4" s="94" t="s">
        <v>696</v>
      </c>
      <c r="C4" s="2" t="s">
        <v>19</v>
      </c>
      <c r="D4" s="2" t="s">
        <v>697</v>
      </c>
      <c r="E4" s="2" t="s">
        <v>213</v>
      </c>
      <c r="F4" s="97">
        <v>200</v>
      </c>
      <c r="G4" s="2" t="s">
        <v>229</v>
      </c>
      <c r="H4" s="2">
        <v>9.5299999999999994</v>
      </c>
      <c r="I4" s="2" t="s">
        <v>237</v>
      </c>
      <c r="J4" s="2">
        <v>2019</v>
      </c>
      <c r="K4" s="2" t="s">
        <v>702</v>
      </c>
      <c r="L4" s="2" t="s">
        <v>701</v>
      </c>
      <c r="M4" s="2" t="s">
        <v>796</v>
      </c>
      <c r="N4" s="4" t="s">
        <v>1171</v>
      </c>
      <c r="O4" s="2" t="s">
        <v>700</v>
      </c>
      <c r="P4" s="2" t="s">
        <v>699</v>
      </c>
      <c r="Q4" s="35" t="s">
        <v>303</v>
      </c>
      <c r="R4" s="2" t="s">
        <v>330</v>
      </c>
      <c r="S4" s="1" t="s">
        <v>698</v>
      </c>
      <c r="T4" s="2" t="s">
        <v>277</v>
      </c>
      <c r="U4" s="43"/>
      <c r="V4" s="43"/>
      <c r="W4" s="43"/>
    </row>
    <row r="5" spans="1:23" ht="144.75" x14ac:dyDescent="0.2">
      <c r="A5" s="94" t="s">
        <v>801</v>
      </c>
      <c r="B5" s="96" t="s">
        <v>195</v>
      </c>
      <c r="C5" s="2" t="s">
        <v>19</v>
      </c>
      <c r="D5" s="2" t="s">
        <v>223</v>
      </c>
      <c r="E5" s="2" t="s">
        <v>213</v>
      </c>
      <c r="F5" s="95">
        <v>340</v>
      </c>
      <c r="G5" s="2" t="s">
        <v>229</v>
      </c>
      <c r="H5" s="2">
        <v>143</v>
      </c>
      <c r="I5" s="2" t="s">
        <v>238</v>
      </c>
      <c r="J5" s="5" t="s">
        <v>256</v>
      </c>
      <c r="K5" s="2" t="s">
        <v>703</v>
      </c>
      <c r="L5" s="2" t="s">
        <v>704</v>
      </c>
      <c r="M5" s="1" t="s">
        <v>705</v>
      </c>
      <c r="N5" s="4" t="s">
        <v>1172</v>
      </c>
      <c r="O5" s="2" t="s">
        <v>706</v>
      </c>
      <c r="P5" s="2" t="s">
        <v>707</v>
      </c>
      <c r="Q5" s="35" t="s">
        <v>304</v>
      </c>
      <c r="R5" s="2" t="s">
        <v>331</v>
      </c>
      <c r="S5" s="2" t="s">
        <v>708</v>
      </c>
      <c r="T5" s="2" t="s">
        <v>278</v>
      </c>
      <c r="U5" s="25"/>
      <c r="V5" s="43"/>
      <c r="W5" s="43"/>
    </row>
    <row r="6" spans="1:23" ht="144" x14ac:dyDescent="0.25">
      <c r="A6" s="94" t="s">
        <v>802</v>
      </c>
      <c r="B6" s="94" t="s">
        <v>709</v>
      </c>
      <c r="C6" s="2" t="s">
        <v>19</v>
      </c>
      <c r="D6" s="2" t="s">
        <v>222</v>
      </c>
      <c r="E6" s="2" t="s">
        <v>710</v>
      </c>
      <c r="F6" s="97">
        <v>36.4</v>
      </c>
      <c r="G6" s="2">
        <v>19.600000000000001</v>
      </c>
      <c r="H6" s="2"/>
      <c r="I6" s="2" t="s">
        <v>239</v>
      </c>
      <c r="J6" s="2" t="s">
        <v>257</v>
      </c>
      <c r="K6" s="2" t="s">
        <v>266</v>
      </c>
      <c r="L6" s="2" t="s">
        <v>711</v>
      </c>
      <c r="M6" s="2" t="s">
        <v>712</v>
      </c>
      <c r="N6" s="4" t="s">
        <v>1173</v>
      </c>
      <c r="O6" s="2" t="s">
        <v>713</v>
      </c>
      <c r="P6" s="2" t="s">
        <v>714</v>
      </c>
      <c r="Q6" s="35" t="s">
        <v>305</v>
      </c>
      <c r="R6" s="2" t="s">
        <v>332</v>
      </c>
      <c r="S6" s="2" t="s">
        <v>715</v>
      </c>
      <c r="T6" s="2" t="s">
        <v>279</v>
      </c>
    </row>
    <row r="7" spans="1:23" ht="156.75" x14ac:dyDescent="0.25">
      <c r="A7" s="94" t="s">
        <v>672</v>
      </c>
      <c r="B7" s="96" t="s">
        <v>197</v>
      </c>
      <c r="C7" s="2" t="s">
        <v>19</v>
      </c>
      <c r="D7" s="2" t="s">
        <v>222</v>
      </c>
      <c r="E7" s="2" t="s">
        <v>215</v>
      </c>
      <c r="F7" s="98" t="s">
        <v>229</v>
      </c>
      <c r="G7" s="2">
        <v>2.5</v>
      </c>
      <c r="H7" s="2" t="s">
        <v>229</v>
      </c>
      <c r="I7" s="2" t="s">
        <v>240</v>
      </c>
      <c r="J7" s="5" t="s">
        <v>258</v>
      </c>
      <c r="K7" s="2" t="s">
        <v>267</v>
      </c>
      <c r="L7" s="2" t="s">
        <v>323</v>
      </c>
      <c r="M7" s="2" t="s">
        <v>716</v>
      </c>
      <c r="N7" s="4" t="s">
        <v>1174</v>
      </c>
      <c r="O7" s="2" t="s">
        <v>717</v>
      </c>
      <c r="P7" s="2" t="s">
        <v>718</v>
      </c>
      <c r="Q7" s="35" t="s">
        <v>306</v>
      </c>
      <c r="R7" s="2" t="s">
        <v>333</v>
      </c>
      <c r="S7" s="2" t="s">
        <v>719</v>
      </c>
      <c r="T7" s="2" t="s">
        <v>280</v>
      </c>
    </row>
    <row r="8" spans="1:23" ht="156.75" x14ac:dyDescent="0.25">
      <c r="A8" s="94" t="s">
        <v>673</v>
      </c>
      <c r="B8" s="94" t="s">
        <v>720</v>
      </c>
      <c r="C8" s="2" t="s">
        <v>19</v>
      </c>
      <c r="D8" s="2" t="s">
        <v>224</v>
      </c>
      <c r="E8" s="2" t="s">
        <v>214</v>
      </c>
      <c r="F8" s="2">
        <v>89.3</v>
      </c>
      <c r="G8" s="35">
        <v>0</v>
      </c>
      <c r="H8" s="2">
        <v>0</v>
      </c>
      <c r="I8" s="2" t="s">
        <v>241</v>
      </c>
      <c r="J8" s="5" t="s">
        <v>721</v>
      </c>
      <c r="K8" s="2" t="s">
        <v>268</v>
      </c>
      <c r="L8" s="2" t="s">
        <v>324</v>
      </c>
      <c r="M8" s="2" t="s">
        <v>663</v>
      </c>
      <c r="N8" s="4" t="s">
        <v>1175</v>
      </c>
      <c r="O8" s="2" t="s">
        <v>722</v>
      </c>
      <c r="P8" s="2" t="s">
        <v>668</v>
      </c>
      <c r="Q8" s="35" t="s">
        <v>307</v>
      </c>
      <c r="R8" s="2" t="s">
        <v>330</v>
      </c>
      <c r="S8" s="2" t="s">
        <v>723</v>
      </c>
      <c r="T8" s="2" t="s">
        <v>281</v>
      </c>
    </row>
    <row r="9" spans="1:23" ht="156.75" x14ac:dyDescent="0.25">
      <c r="A9" s="94" t="s">
        <v>674</v>
      </c>
      <c r="B9" s="96" t="s">
        <v>724</v>
      </c>
      <c r="C9" s="2" t="s">
        <v>19</v>
      </c>
      <c r="D9" s="2" t="s">
        <v>225</v>
      </c>
      <c r="E9" s="2" t="s">
        <v>216</v>
      </c>
      <c r="F9" s="2" t="s">
        <v>229</v>
      </c>
      <c r="G9" s="2">
        <v>7.3</v>
      </c>
      <c r="H9" s="2" t="s">
        <v>229</v>
      </c>
      <c r="I9" s="2" t="s">
        <v>242</v>
      </c>
      <c r="J9" s="2" t="s">
        <v>259</v>
      </c>
      <c r="K9" s="2" t="s">
        <v>725</v>
      </c>
      <c r="L9" s="2" t="s">
        <v>726</v>
      </c>
      <c r="M9" s="2" t="s">
        <v>727</v>
      </c>
      <c r="N9" s="2" t="s">
        <v>1176</v>
      </c>
      <c r="O9" s="2" t="s">
        <v>728</v>
      </c>
      <c r="P9" s="2" t="s">
        <v>729</v>
      </c>
      <c r="Q9" s="2" t="s">
        <v>308</v>
      </c>
      <c r="R9" s="2" t="s">
        <v>334</v>
      </c>
      <c r="S9" s="2" t="s">
        <v>730</v>
      </c>
      <c r="T9" s="2" t="s">
        <v>282</v>
      </c>
    </row>
    <row r="10" spans="1:23" ht="142.5" x14ac:dyDescent="0.25">
      <c r="A10" s="94" t="s">
        <v>675</v>
      </c>
      <c r="B10" s="94" t="s">
        <v>731</v>
      </c>
      <c r="C10" s="2" t="s">
        <v>19</v>
      </c>
      <c r="D10" s="2" t="s">
        <v>732</v>
      </c>
      <c r="E10" s="2" t="s">
        <v>803</v>
      </c>
      <c r="F10" s="2">
        <v>360</v>
      </c>
      <c r="G10" s="2" t="s">
        <v>229</v>
      </c>
      <c r="H10" s="2" t="s">
        <v>229</v>
      </c>
      <c r="I10" s="2" t="s">
        <v>243</v>
      </c>
      <c r="J10" s="2" t="s">
        <v>733</v>
      </c>
      <c r="K10" s="2" t="s">
        <v>269</v>
      </c>
      <c r="L10" s="38" t="s">
        <v>734</v>
      </c>
      <c r="M10" s="2" t="s">
        <v>735</v>
      </c>
      <c r="N10" s="2" t="s">
        <v>1177</v>
      </c>
      <c r="O10" s="2" t="s">
        <v>736</v>
      </c>
      <c r="P10" s="2" t="s">
        <v>737</v>
      </c>
      <c r="Q10" s="2" t="s">
        <v>309</v>
      </c>
      <c r="R10" s="2" t="s">
        <v>335</v>
      </c>
      <c r="S10" s="2" t="s">
        <v>738</v>
      </c>
      <c r="T10" s="2" t="s">
        <v>283</v>
      </c>
    </row>
    <row r="11" spans="1:23" ht="142.5" x14ac:dyDescent="0.25">
      <c r="A11" s="94" t="s">
        <v>739</v>
      </c>
      <c r="B11" s="96" t="s">
        <v>740</v>
      </c>
      <c r="C11" s="2" t="s">
        <v>19</v>
      </c>
      <c r="D11" s="2" t="s">
        <v>732</v>
      </c>
      <c r="E11" s="2" t="s">
        <v>741</v>
      </c>
      <c r="F11" s="2">
        <v>225</v>
      </c>
      <c r="G11" s="2" t="s">
        <v>229</v>
      </c>
      <c r="H11" s="2">
        <v>224.9</v>
      </c>
      <c r="I11" s="2" t="s">
        <v>244</v>
      </c>
      <c r="J11" s="2">
        <v>20192026</v>
      </c>
      <c r="K11" s="2" t="s">
        <v>270</v>
      </c>
      <c r="L11" s="2" t="s">
        <v>325</v>
      </c>
      <c r="M11" s="2" t="s">
        <v>664</v>
      </c>
      <c r="N11" s="2" t="s">
        <v>1178</v>
      </c>
      <c r="O11" s="2" t="s">
        <v>742</v>
      </c>
      <c r="P11" s="2" t="s">
        <v>743</v>
      </c>
      <c r="Q11" s="2" t="s">
        <v>310</v>
      </c>
      <c r="R11" s="2" t="s">
        <v>336</v>
      </c>
      <c r="S11" s="2" t="s">
        <v>744</v>
      </c>
      <c r="T11" s="2" t="s">
        <v>848</v>
      </c>
    </row>
    <row r="12" spans="1:23" ht="142.5" x14ac:dyDescent="0.25">
      <c r="A12" s="94" t="s">
        <v>676</v>
      </c>
      <c r="B12" s="94" t="s">
        <v>745</v>
      </c>
      <c r="C12" s="2" t="s">
        <v>19</v>
      </c>
      <c r="D12" s="2" t="s">
        <v>226</v>
      </c>
      <c r="E12" s="2" t="s">
        <v>746</v>
      </c>
      <c r="F12" s="2">
        <v>276.25</v>
      </c>
      <c r="G12" s="2" t="s">
        <v>229</v>
      </c>
      <c r="H12" s="2" t="s">
        <v>229</v>
      </c>
      <c r="I12" s="2" t="s">
        <v>245</v>
      </c>
      <c r="J12" s="2" t="s">
        <v>747</v>
      </c>
      <c r="K12" s="2" t="s">
        <v>748</v>
      </c>
      <c r="L12" s="2" t="s">
        <v>326</v>
      </c>
      <c r="M12" s="99" t="s">
        <v>665</v>
      </c>
      <c r="N12" s="2" t="s">
        <v>1179</v>
      </c>
      <c r="O12" s="2" t="s">
        <v>749</v>
      </c>
      <c r="P12" s="99" t="s">
        <v>750</v>
      </c>
      <c r="Q12" s="2" t="s">
        <v>24</v>
      </c>
      <c r="R12" s="2" t="s">
        <v>337</v>
      </c>
      <c r="S12" s="99" t="s">
        <v>751</v>
      </c>
      <c r="T12" s="2" t="s">
        <v>752</v>
      </c>
    </row>
    <row r="13" spans="1:23" ht="142.5" x14ac:dyDescent="0.25">
      <c r="A13" s="94" t="s">
        <v>677</v>
      </c>
      <c r="B13" s="96" t="s">
        <v>753</v>
      </c>
      <c r="C13" s="2" t="s">
        <v>19</v>
      </c>
      <c r="D13" s="2" t="s">
        <v>227</v>
      </c>
      <c r="E13" s="2" t="s">
        <v>754</v>
      </c>
      <c r="F13" s="2">
        <v>144</v>
      </c>
      <c r="G13" s="2" t="s">
        <v>229</v>
      </c>
      <c r="H13" s="2" t="s">
        <v>229</v>
      </c>
      <c r="I13" s="2" t="s">
        <v>246</v>
      </c>
      <c r="J13" s="2">
        <v>2021</v>
      </c>
      <c r="K13" s="2" t="s">
        <v>755</v>
      </c>
      <c r="L13" s="2" t="s">
        <v>327</v>
      </c>
      <c r="M13" s="99" t="s">
        <v>756</v>
      </c>
      <c r="N13" s="2" t="s">
        <v>1180</v>
      </c>
      <c r="O13" s="2" t="s">
        <v>757</v>
      </c>
      <c r="P13" s="99" t="s">
        <v>758</v>
      </c>
      <c r="Q13" s="2" t="s">
        <v>311</v>
      </c>
      <c r="R13" s="2" t="s">
        <v>338</v>
      </c>
      <c r="S13" s="99" t="s">
        <v>759</v>
      </c>
      <c r="T13" s="2" t="s">
        <v>760</v>
      </c>
    </row>
    <row r="14" spans="1:23" ht="128.25" x14ac:dyDescent="0.25">
      <c r="A14" s="94" t="s">
        <v>678</v>
      </c>
      <c r="B14" s="94" t="s">
        <v>761</v>
      </c>
      <c r="C14" s="2" t="s">
        <v>19</v>
      </c>
      <c r="D14" s="2" t="s">
        <v>222</v>
      </c>
      <c r="E14" s="2" t="s">
        <v>217</v>
      </c>
      <c r="F14" s="2" t="s">
        <v>229</v>
      </c>
      <c r="G14" s="2" t="s">
        <v>233</v>
      </c>
      <c r="H14" s="2" t="s">
        <v>229</v>
      </c>
      <c r="I14" s="2" t="s">
        <v>247</v>
      </c>
      <c r="J14" s="2">
        <v>2021</v>
      </c>
      <c r="K14" s="2" t="s">
        <v>762</v>
      </c>
      <c r="L14" s="2" t="s">
        <v>763</v>
      </c>
      <c r="M14" s="99" t="s">
        <v>666</v>
      </c>
      <c r="N14" s="2" t="s">
        <v>1181</v>
      </c>
      <c r="O14" s="2" t="s">
        <v>764</v>
      </c>
      <c r="P14" s="99" t="s">
        <v>765</v>
      </c>
      <c r="Q14" s="2" t="s">
        <v>312</v>
      </c>
      <c r="R14" s="2" t="s">
        <v>339</v>
      </c>
      <c r="S14" s="99" t="s">
        <v>767</v>
      </c>
      <c r="T14" s="2" t="s">
        <v>766</v>
      </c>
    </row>
    <row r="15" spans="1:23" ht="142.5" x14ac:dyDescent="0.25">
      <c r="A15" s="94" t="s">
        <v>679</v>
      </c>
      <c r="B15" s="96" t="s">
        <v>768</v>
      </c>
      <c r="C15" s="2" t="s">
        <v>19</v>
      </c>
      <c r="D15" s="2" t="s">
        <v>769</v>
      </c>
      <c r="E15" s="2" t="s">
        <v>218</v>
      </c>
      <c r="F15" s="2">
        <v>90</v>
      </c>
      <c r="G15" s="2" t="s">
        <v>229</v>
      </c>
      <c r="H15" s="2">
        <v>19.3</v>
      </c>
      <c r="I15" s="2" t="s">
        <v>248</v>
      </c>
      <c r="J15" s="2" t="s">
        <v>257</v>
      </c>
      <c r="K15" s="2" t="s">
        <v>271</v>
      </c>
      <c r="L15" s="2" t="s">
        <v>770</v>
      </c>
      <c r="M15" s="99" t="s">
        <v>771</v>
      </c>
      <c r="N15" s="2" t="s">
        <v>1182</v>
      </c>
      <c r="O15" s="2" t="s">
        <v>772</v>
      </c>
      <c r="P15" s="99" t="s">
        <v>773</v>
      </c>
      <c r="Q15" s="2" t="s">
        <v>313</v>
      </c>
      <c r="R15" s="2" t="s">
        <v>340</v>
      </c>
      <c r="S15" s="99" t="s">
        <v>774</v>
      </c>
      <c r="T15" s="1" t="s">
        <v>775</v>
      </c>
    </row>
    <row r="16" spans="1:23" ht="142.5" x14ac:dyDescent="0.25">
      <c r="A16" s="94" t="s">
        <v>680</v>
      </c>
      <c r="B16" s="94" t="s">
        <v>776</v>
      </c>
      <c r="C16" s="2" t="s">
        <v>777</v>
      </c>
      <c r="D16" s="2" t="s">
        <v>778</v>
      </c>
      <c r="E16" s="2" t="s">
        <v>219</v>
      </c>
      <c r="F16" s="2" t="s">
        <v>229</v>
      </c>
      <c r="G16" s="2">
        <v>73</v>
      </c>
      <c r="H16" s="2" t="s">
        <v>229</v>
      </c>
      <c r="I16" s="2" t="s">
        <v>249</v>
      </c>
      <c r="J16" s="2" t="s">
        <v>779</v>
      </c>
      <c r="K16" s="2" t="s">
        <v>780</v>
      </c>
      <c r="L16" s="99" t="s">
        <v>781</v>
      </c>
      <c r="M16" s="99" t="s">
        <v>782</v>
      </c>
      <c r="N16" s="2" t="s">
        <v>1183</v>
      </c>
      <c r="O16" s="2" t="s">
        <v>783</v>
      </c>
      <c r="P16" s="99" t="s">
        <v>784</v>
      </c>
      <c r="Q16" s="2" t="s">
        <v>314</v>
      </c>
      <c r="R16" s="2" t="s">
        <v>341</v>
      </c>
      <c r="S16" s="99" t="s">
        <v>785</v>
      </c>
      <c r="T16" s="2" t="s">
        <v>786</v>
      </c>
    </row>
    <row r="17" spans="1:20" ht="128.25" x14ac:dyDescent="0.25">
      <c r="A17" s="94" t="s">
        <v>681</v>
      </c>
      <c r="B17" s="96" t="s">
        <v>787</v>
      </c>
      <c r="C17" s="2" t="s">
        <v>788</v>
      </c>
      <c r="D17" s="2" t="s">
        <v>789</v>
      </c>
      <c r="E17" s="2" t="s">
        <v>218</v>
      </c>
      <c r="F17" s="2">
        <v>120</v>
      </c>
      <c r="G17" s="2" t="s">
        <v>229</v>
      </c>
      <c r="H17" s="2">
        <v>30</v>
      </c>
      <c r="I17" s="2" t="s">
        <v>250</v>
      </c>
      <c r="J17" s="2" t="s">
        <v>790</v>
      </c>
      <c r="K17" s="2" t="s">
        <v>272</v>
      </c>
      <c r="L17" s="2" t="s">
        <v>791</v>
      </c>
      <c r="M17" s="99" t="s">
        <v>792</v>
      </c>
      <c r="N17" s="2" t="s">
        <v>1184</v>
      </c>
      <c r="O17" s="2" t="s">
        <v>793</v>
      </c>
      <c r="P17" s="99" t="s">
        <v>794</v>
      </c>
      <c r="Q17" s="2" t="s">
        <v>315</v>
      </c>
      <c r="R17" s="2" t="s">
        <v>342</v>
      </c>
      <c r="S17" s="99" t="s">
        <v>795</v>
      </c>
      <c r="T17" s="2" t="s">
        <v>284</v>
      </c>
    </row>
    <row r="18" spans="1:20" ht="142.5" x14ac:dyDescent="0.25">
      <c r="A18" s="94" t="s">
        <v>682</v>
      </c>
      <c r="B18" s="94" t="s">
        <v>804</v>
      </c>
      <c r="C18" s="2" t="s">
        <v>805</v>
      </c>
      <c r="D18" s="2" t="s">
        <v>806</v>
      </c>
      <c r="E18" s="2" t="s">
        <v>220</v>
      </c>
      <c r="F18" s="2" t="s">
        <v>229</v>
      </c>
      <c r="G18" s="2">
        <v>1.36</v>
      </c>
      <c r="H18" s="2" t="s">
        <v>229</v>
      </c>
      <c r="I18" s="2" t="s">
        <v>251</v>
      </c>
      <c r="J18" s="2" t="s">
        <v>260</v>
      </c>
      <c r="K18" s="2" t="s">
        <v>273</v>
      </c>
      <c r="L18" s="2" t="s">
        <v>807</v>
      </c>
      <c r="M18" s="99" t="s">
        <v>667</v>
      </c>
      <c r="N18" s="2" t="s">
        <v>1185</v>
      </c>
      <c r="O18" s="2" t="s">
        <v>808</v>
      </c>
      <c r="P18" s="99" t="s">
        <v>669</v>
      </c>
      <c r="Q18" s="2" t="s">
        <v>316</v>
      </c>
      <c r="R18" s="2" t="s">
        <v>343</v>
      </c>
      <c r="S18" s="99" t="s">
        <v>809</v>
      </c>
      <c r="T18" s="2" t="s">
        <v>285</v>
      </c>
    </row>
    <row r="19" spans="1:20" ht="156.75" x14ac:dyDescent="0.25">
      <c r="A19" s="94" t="s">
        <v>683</v>
      </c>
      <c r="B19" s="96" t="s">
        <v>811</v>
      </c>
      <c r="C19" s="2" t="s">
        <v>812</v>
      </c>
      <c r="D19" s="2" t="s">
        <v>813</v>
      </c>
      <c r="E19" s="2" t="s">
        <v>220</v>
      </c>
      <c r="F19" s="2" t="s">
        <v>229</v>
      </c>
      <c r="G19" s="2">
        <v>1.56</v>
      </c>
      <c r="H19" s="2" t="s">
        <v>229</v>
      </c>
      <c r="I19" s="2" t="s">
        <v>252</v>
      </c>
      <c r="J19" s="2" t="s">
        <v>260</v>
      </c>
      <c r="K19" s="2" t="s">
        <v>274</v>
      </c>
      <c r="L19" s="2" t="s">
        <v>328</v>
      </c>
      <c r="M19" s="99" t="s">
        <v>814</v>
      </c>
      <c r="N19" s="2" t="s">
        <v>1186</v>
      </c>
      <c r="O19" s="2" t="s">
        <v>321</v>
      </c>
      <c r="P19" s="99" t="s">
        <v>670</v>
      </c>
      <c r="Q19" s="2" t="s">
        <v>317</v>
      </c>
      <c r="R19" s="2" t="s">
        <v>344</v>
      </c>
      <c r="S19" s="99" t="s">
        <v>815</v>
      </c>
      <c r="T19" s="2" t="s">
        <v>816</v>
      </c>
    </row>
    <row r="20" spans="1:20" ht="171" x14ac:dyDescent="0.25">
      <c r="A20" s="94" t="s">
        <v>684</v>
      </c>
      <c r="B20" s="94" t="s">
        <v>810</v>
      </c>
      <c r="C20" s="2" t="s">
        <v>230</v>
      </c>
      <c r="D20" s="2" t="s">
        <v>228</v>
      </c>
      <c r="E20" s="2" t="s">
        <v>218</v>
      </c>
      <c r="F20" s="2">
        <v>85.5</v>
      </c>
      <c r="G20" s="2">
        <v>18</v>
      </c>
      <c r="H20" s="2" t="s">
        <v>229</v>
      </c>
      <c r="I20" s="2" t="s">
        <v>253</v>
      </c>
      <c r="J20" s="2" t="s">
        <v>261</v>
      </c>
      <c r="K20" s="2" t="s">
        <v>825</v>
      </c>
      <c r="L20" s="2" t="s">
        <v>826</v>
      </c>
      <c r="M20" s="99" t="s">
        <v>827</v>
      </c>
      <c r="N20" s="2" t="s">
        <v>1187</v>
      </c>
      <c r="O20" s="2" t="s">
        <v>828</v>
      </c>
      <c r="P20" s="99" t="s">
        <v>829</v>
      </c>
      <c r="Q20" s="2" t="s">
        <v>318</v>
      </c>
      <c r="R20" s="2" t="s">
        <v>345</v>
      </c>
      <c r="S20" s="99" t="s">
        <v>830</v>
      </c>
      <c r="T20" s="2" t="s">
        <v>831</v>
      </c>
    </row>
    <row r="21" spans="1:20" ht="135" x14ac:dyDescent="0.25">
      <c r="A21" s="94" t="s">
        <v>685</v>
      </c>
      <c r="B21" s="96" t="s">
        <v>832</v>
      </c>
      <c r="C21" s="2" t="s">
        <v>231</v>
      </c>
      <c r="D21" s="2" t="s">
        <v>833</v>
      </c>
      <c r="E21" s="2" t="s">
        <v>221</v>
      </c>
      <c r="F21" s="2">
        <v>250</v>
      </c>
      <c r="G21" s="2"/>
      <c r="H21" s="2"/>
      <c r="I21" s="2" t="s">
        <v>254</v>
      </c>
      <c r="J21" s="2" t="s">
        <v>262</v>
      </c>
      <c r="K21" s="2" t="s">
        <v>834</v>
      </c>
      <c r="L21" s="2" t="s">
        <v>835</v>
      </c>
      <c r="M21" s="99" t="s">
        <v>836</v>
      </c>
      <c r="N21" s="2" t="s">
        <v>1188</v>
      </c>
      <c r="O21" s="2" t="s">
        <v>322</v>
      </c>
      <c r="P21" s="99" t="s">
        <v>837</v>
      </c>
      <c r="Q21" s="2" t="s">
        <v>319</v>
      </c>
      <c r="R21" s="2" t="s">
        <v>346</v>
      </c>
      <c r="S21" s="99" t="s">
        <v>838</v>
      </c>
      <c r="T21" s="2" t="s">
        <v>286</v>
      </c>
    </row>
    <row r="22" spans="1:20" ht="156.75" x14ac:dyDescent="0.25">
      <c r="A22" s="94" t="s">
        <v>686</v>
      </c>
      <c r="B22" s="94" t="s">
        <v>212</v>
      </c>
      <c r="C22" s="2" t="s">
        <v>232</v>
      </c>
      <c r="D22" s="2" t="s">
        <v>842</v>
      </c>
      <c r="E22" s="2" t="s">
        <v>843</v>
      </c>
      <c r="F22" s="2"/>
      <c r="G22" s="2" t="s">
        <v>234</v>
      </c>
      <c r="H22" s="2"/>
      <c r="I22" s="2" t="s">
        <v>255</v>
      </c>
      <c r="J22" s="2" t="s">
        <v>263</v>
      </c>
      <c r="K22" s="2" t="s">
        <v>845</v>
      </c>
      <c r="L22" s="2" t="s">
        <v>844</v>
      </c>
      <c r="M22" s="99" t="s">
        <v>846</v>
      </c>
      <c r="N22" s="2" t="s">
        <v>1189</v>
      </c>
      <c r="O22" s="2" t="s">
        <v>841</v>
      </c>
      <c r="P22" s="99" t="s">
        <v>847</v>
      </c>
      <c r="Q22" s="2" t="s">
        <v>320</v>
      </c>
      <c r="R22" s="2" t="s">
        <v>347</v>
      </c>
      <c r="S22" s="99" t="s">
        <v>840</v>
      </c>
      <c r="T22" s="1" t="s">
        <v>839</v>
      </c>
    </row>
    <row r="30" spans="1:20" x14ac:dyDescent="0.25">
      <c r="A30" s="186"/>
      <c r="B30" s="186"/>
      <c r="C30" s="186"/>
      <c r="D30" s="186"/>
      <c r="E30" s="186"/>
      <c r="F30" s="186"/>
    </row>
    <row r="31" spans="1:20" x14ac:dyDescent="0.25">
      <c r="A31" s="186"/>
      <c r="B31" s="186"/>
      <c r="C31" s="186"/>
      <c r="D31" s="186"/>
      <c r="E31" s="186"/>
      <c r="F31" s="186"/>
    </row>
    <row r="32" spans="1:20" x14ac:dyDescent="0.25">
      <c r="A32" s="187"/>
      <c r="B32" s="188"/>
      <c r="C32" s="188"/>
      <c r="D32" s="188"/>
      <c r="E32" s="188"/>
      <c r="F32" s="187"/>
    </row>
    <row r="33" spans="1:6" ht="37.9" customHeight="1" x14ac:dyDescent="0.25">
      <c r="A33" s="187"/>
      <c r="B33" s="188"/>
      <c r="C33" s="188"/>
      <c r="D33" s="188"/>
      <c r="E33" s="188"/>
      <c r="F33" s="187"/>
    </row>
    <row r="34" spans="1:6" x14ac:dyDescent="0.25">
      <c r="A34" s="187"/>
      <c r="B34" s="188"/>
      <c r="C34" s="188"/>
      <c r="D34" s="188"/>
      <c r="E34" s="188"/>
      <c r="F34" s="187"/>
    </row>
    <row r="35" spans="1:6" x14ac:dyDescent="0.25">
      <c r="A35" s="186"/>
      <c r="B35" s="189"/>
      <c r="C35" s="189"/>
      <c r="D35" s="189"/>
      <c r="E35" s="189"/>
      <c r="F35" s="186"/>
    </row>
    <row r="36" spans="1:6" x14ac:dyDescent="0.25">
      <c r="A36" s="187"/>
      <c r="B36" s="188"/>
      <c r="C36" s="188"/>
      <c r="D36" s="188"/>
      <c r="E36" s="188"/>
      <c r="F36" s="187"/>
    </row>
    <row r="37" spans="1:6" x14ac:dyDescent="0.25">
      <c r="A37" s="186"/>
      <c r="B37" s="189"/>
      <c r="C37" s="189"/>
      <c r="D37" s="189"/>
      <c r="E37" s="189"/>
      <c r="F37" s="186"/>
    </row>
    <row r="38" spans="1:6" x14ac:dyDescent="0.25">
      <c r="A38" s="187"/>
      <c r="B38" s="188"/>
      <c r="C38" s="188"/>
      <c r="D38" s="188"/>
      <c r="E38" s="188"/>
      <c r="F38" s="187"/>
    </row>
    <row r="39" spans="1:6" x14ac:dyDescent="0.25">
      <c r="A39" s="186"/>
      <c r="B39" s="189"/>
      <c r="C39" s="189"/>
      <c r="D39" s="189"/>
      <c r="E39" s="189"/>
      <c r="F39" s="186"/>
    </row>
    <row r="40" spans="1:6" x14ac:dyDescent="0.25">
      <c r="A40" s="187"/>
      <c r="B40" s="188"/>
      <c r="C40" s="188"/>
      <c r="D40" s="188"/>
      <c r="E40" s="188"/>
      <c r="F40" s="187"/>
    </row>
    <row r="41" spans="1:6" x14ac:dyDescent="0.25">
      <c r="A41" s="186"/>
      <c r="B41" s="189"/>
      <c r="C41" s="189"/>
      <c r="D41" s="189"/>
      <c r="E41" s="189"/>
      <c r="F41" s="186"/>
    </row>
    <row r="42" spans="1:6" x14ac:dyDescent="0.25">
      <c r="A42" s="187"/>
      <c r="B42" s="188"/>
      <c r="C42" s="188"/>
      <c r="D42" s="188"/>
      <c r="E42" s="188"/>
      <c r="F42" s="187"/>
    </row>
    <row r="43" spans="1:6" x14ac:dyDescent="0.25">
      <c r="A43" s="186"/>
      <c r="B43" s="189"/>
      <c r="C43" s="189"/>
      <c r="D43" s="189"/>
      <c r="E43" s="189"/>
      <c r="F43" s="186"/>
    </row>
    <row r="44" spans="1:6" x14ac:dyDescent="0.25">
      <c r="A44" s="187"/>
      <c r="B44" s="188"/>
      <c r="C44" s="188"/>
      <c r="D44" s="188"/>
      <c r="E44" s="188"/>
      <c r="F44" s="187"/>
    </row>
    <row r="45" spans="1:6" x14ac:dyDescent="0.25">
      <c r="A45" s="186"/>
      <c r="B45" s="189"/>
      <c r="C45" s="189"/>
      <c r="D45" s="189"/>
      <c r="E45" s="189"/>
      <c r="F45" s="186"/>
    </row>
    <row r="46" spans="1:6" x14ac:dyDescent="0.25">
      <c r="A46" s="187"/>
      <c r="B46" s="188"/>
      <c r="C46" s="188"/>
      <c r="D46" s="188"/>
      <c r="E46" s="188"/>
      <c r="F46" s="187"/>
    </row>
    <row r="47" spans="1:6" x14ac:dyDescent="0.25">
      <c r="A47" s="186"/>
      <c r="B47" s="189"/>
      <c r="C47" s="189"/>
      <c r="D47" s="189"/>
      <c r="E47" s="189"/>
      <c r="F47" s="186"/>
    </row>
    <row r="48" spans="1:6" x14ac:dyDescent="0.25">
      <c r="A48" s="187"/>
      <c r="B48" s="188"/>
      <c r="C48" s="188"/>
      <c r="D48" s="188"/>
      <c r="E48" s="188"/>
      <c r="F48" s="187"/>
    </row>
    <row r="49" spans="1:6" x14ac:dyDescent="0.25">
      <c r="A49" s="186"/>
      <c r="B49" s="189"/>
      <c r="C49" s="189"/>
      <c r="D49" s="189"/>
      <c r="E49" s="189"/>
      <c r="F49" s="186"/>
    </row>
    <row r="50" spans="1:6" x14ac:dyDescent="0.25">
      <c r="A50" s="187"/>
      <c r="B50" s="188"/>
      <c r="C50" s="188"/>
      <c r="D50" s="188"/>
      <c r="E50" s="188"/>
      <c r="F50" s="187"/>
    </row>
    <row r="51" spans="1:6" x14ac:dyDescent="0.25">
      <c r="A51" s="186"/>
      <c r="B51" s="189"/>
      <c r="C51" s="189"/>
      <c r="D51" s="189"/>
      <c r="E51" s="189"/>
      <c r="F51" s="186"/>
    </row>
    <row r="52" spans="1:6" x14ac:dyDescent="0.25">
      <c r="A52" s="187"/>
      <c r="B52" s="188"/>
      <c r="C52" s="188"/>
      <c r="D52" s="188"/>
      <c r="E52" s="188"/>
      <c r="F52" s="187"/>
    </row>
    <row r="53" spans="1:6" x14ac:dyDescent="0.25">
      <c r="A53" s="186"/>
      <c r="B53" s="189"/>
      <c r="C53" s="189"/>
      <c r="D53" s="189"/>
      <c r="E53" s="189"/>
      <c r="F53" s="186"/>
    </row>
    <row r="54" spans="1:6" x14ac:dyDescent="0.25">
      <c r="A54" s="187"/>
      <c r="B54" s="188"/>
      <c r="C54" s="188"/>
      <c r="D54" s="188"/>
      <c r="E54" s="188"/>
      <c r="F54" s="187"/>
    </row>
  </sheetData>
  <pageMargins left="0.7" right="0.7" top="0.75" bottom="0.75" header="0.3" footer="0.3"/>
  <pageSetup paperSize="9" scale="1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0B31E-007D-4669-B351-943E1869E05A}">
  <dimension ref="A1:AA78"/>
  <sheetViews>
    <sheetView view="pageBreakPreview" zoomScaleNormal="70" zoomScaleSheetLayoutView="100" workbookViewId="0">
      <pane ySplit="1" topLeftCell="A53" activePane="bottomLeft" state="frozen"/>
      <selection pane="bottomLeft" activeCell="A60" sqref="A60:B60"/>
    </sheetView>
  </sheetViews>
  <sheetFormatPr defaultColWidth="9.140625" defaultRowHeight="12" x14ac:dyDescent="0.2"/>
  <cols>
    <col min="1" max="1" width="80.7109375" style="91" customWidth="1"/>
    <col min="2" max="2" width="33.7109375" style="207" customWidth="1"/>
    <col min="3" max="3" width="23.42578125" style="64" customWidth="1"/>
    <col min="4" max="4" width="15.140625" style="64" customWidth="1"/>
    <col min="5" max="5" width="10.42578125" style="64" customWidth="1"/>
    <col min="6" max="7" width="5.7109375" style="64" customWidth="1"/>
    <col min="8" max="8" width="11.28515625" style="64" customWidth="1"/>
    <col min="9" max="9" width="16.7109375" style="64" customWidth="1"/>
    <col min="10" max="10" width="52.85546875" style="110" customWidth="1"/>
    <col min="11" max="11" width="43.5703125" style="64" customWidth="1"/>
    <col min="12" max="12" width="13.28515625" style="64" customWidth="1"/>
    <col min="13" max="13" width="16.28515625" style="64" customWidth="1"/>
    <col min="14" max="14" width="12.140625" style="64" customWidth="1"/>
    <col min="15" max="15" width="13.85546875" style="64" customWidth="1"/>
    <col min="16" max="16" width="18.140625" style="64" customWidth="1"/>
    <col min="17" max="17" width="23.28515625" style="64" customWidth="1"/>
    <col min="18" max="18" width="17.5703125" style="64" customWidth="1"/>
    <col min="19" max="19" width="21.140625" style="64" customWidth="1"/>
    <col min="20" max="20" width="27" style="64" customWidth="1"/>
    <col min="21" max="21" width="10.7109375" style="64" customWidth="1"/>
    <col min="22" max="22" width="12.7109375" style="64" customWidth="1"/>
    <col min="23" max="23" width="36" style="64" customWidth="1"/>
    <col min="24" max="24" width="20.28515625" style="64" customWidth="1"/>
    <col min="25" max="26" width="9.140625" style="64" customWidth="1"/>
    <col min="27" max="27" width="9.140625" style="64"/>
    <col min="28" max="28" width="9.140625" style="64" customWidth="1"/>
    <col min="29" max="16384" width="9.140625" style="64"/>
  </cols>
  <sheetData>
    <row r="1" spans="1:27" s="148" customFormat="1" ht="62.45" customHeight="1" x14ac:dyDescent="0.2">
      <c r="A1" s="151" t="s">
        <v>958</v>
      </c>
      <c r="B1" s="202" t="s">
        <v>895</v>
      </c>
      <c r="C1" s="152"/>
      <c r="D1" s="152"/>
      <c r="E1" s="252"/>
      <c r="F1" s="252"/>
      <c r="G1" s="252"/>
      <c r="H1" s="153"/>
      <c r="I1" s="152"/>
      <c r="J1" s="154"/>
      <c r="K1" s="154"/>
      <c r="L1" s="155"/>
      <c r="M1" s="154"/>
      <c r="N1" s="155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7"/>
      <c r="Z1" s="157"/>
      <c r="AA1" s="157"/>
    </row>
    <row r="2" spans="1:27" x14ac:dyDescent="0.2">
      <c r="A2" s="239" t="s">
        <v>896</v>
      </c>
      <c r="B2" s="239"/>
      <c r="C2" s="58"/>
      <c r="D2" s="74"/>
      <c r="E2" s="58"/>
      <c r="F2" s="58"/>
      <c r="G2" s="253"/>
      <c r="H2" s="241"/>
      <c r="I2" s="240"/>
      <c r="J2" s="245"/>
      <c r="K2" s="62"/>
      <c r="L2" s="61"/>
      <c r="M2" s="62"/>
      <c r="N2" s="65"/>
      <c r="O2" s="62"/>
      <c r="P2" s="62"/>
      <c r="Q2" s="62"/>
      <c r="R2" s="102"/>
      <c r="S2" s="62"/>
      <c r="T2" s="62"/>
      <c r="U2" s="62"/>
      <c r="V2" s="62"/>
      <c r="W2" s="62"/>
      <c r="X2" s="62"/>
      <c r="Y2" s="103"/>
      <c r="Z2" s="103"/>
      <c r="AA2" s="103"/>
    </row>
    <row r="3" spans="1:27" ht="24" x14ac:dyDescent="0.2">
      <c r="A3" s="104" t="s">
        <v>951</v>
      </c>
      <c r="B3" s="198">
        <v>100</v>
      </c>
      <c r="C3" s="58"/>
      <c r="D3" s="74"/>
      <c r="E3" s="58"/>
      <c r="F3" s="58"/>
      <c r="G3" s="253"/>
      <c r="H3" s="241"/>
      <c r="I3" s="240"/>
      <c r="J3" s="245"/>
      <c r="K3" s="105"/>
      <c r="L3" s="61"/>
      <c r="M3" s="62"/>
      <c r="N3" s="61"/>
      <c r="O3" s="62"/>
      <c r="P3" s="62"/>
      <c r="Q3" s="62"/>
      <c r="R3" s="102"/>
      <c r="S3" s="62"/>
      <c r="T3" s="62"/>
      <c r="U3" s="106"/>
      <c r="V3" s="62"/>
      <c r="W3" s="62"/>
      <c r="X3" s="62"/>
      <c r="Y3" s="103"/>
      <c r="Z3" s="103"/>
      <c r="AA3" s="103"/>
    </row>
    <row r="4" spans="1:27" x14ac:dyDescent="0.2">
      <c r="A4" s="104" t="s">
        <v>897</v>
      </c>
      <c r="B4" s="198">
        <v>73</v>
      </c>
      <c r="C4" s="58"/>
      <c r="D4" s="74"/>
      <c r="E4" s="58"/>
      <c r="F4" s="58"/>
      <c r="G4" s="253"/>
      <c r="H4" s="241"/>
      <c r="I4" s="240"/>
      <c r="J4" s="245"/>
      <c r="K4" s="62"/>
      <c r="L4" s="61"/>
      <c r="M4" s="62"/>
      <c r="N4" s="61"/>
      <c r="O4" s="62"/>
      <c r="P4" s="62"/>
      <c r="Q4" s="62"/>
      <c r="R4" s="102"/>
      <c r="S4" s="62"/>
      <c r="T4" s="62"/>
      <c r="U4" s="106"/>
      <c r="V4" s="62"/>
      <c r="W4" s="62"/>
      <c r="X4" s="62"/>
      <c r="Y4" s="90"/>
      <c r="Z4" s="103"/>
      <c r="AA4" s="103"/>
    </row>
    <row r="5" spans="1:27" x14ac:dyDescent="0.2">
      <c r="A5" s="104" t="s">
        <v>898</v>
      </c>
      <c r="B5" s="198">
        <v>69</v>
      </c>
      <c r="C5" s="76"/>
      <c r="D5" s="77"/>
      <c r="E5" s="76"/>
      <c r="F5" s="76"/>
      <c r="G5" s="249"/>
      <c r="H5" s="250"/>
      <c r="I5" s="247"/>
      <c r="J5" s="251"/>
      <c r="K5" s="62"/>
      <c r="L5" s="61"/>
      <c r="M5" s="62"/>
      <c r="N5" s="66"/>
      <c r="O5" s="62"/>
      <c r="P5" s="62"/>
      <c r="Q5" s="62"/>
      <c r="R5" s="102"/>
      <c r="S5" s="62"/>
      <c r="T5" s="62"/>
      <c r="U5" s="106"/>
      <c r="V5" s="62"/>
      <c r="W5" s="62"/>
      <c r="X5" s="62"/>
      <c r="Y5" s="90"/>
      <c r="Z5" s="103"/>
      <c r="AA5" s="103"/>
    </row>
    <row r="6" spans="1:27" x14ac:dyDescent="0.25">
      <c r="A6" s="104" t="s">
        <v>899</v>
      </c>
      <c r="B6" s="198">
        <v>66</v>
      </c>
      <c r="C6" s="78"/>
      <c r="D6" s="79"/>
      <c r="E6" s="78"/>
      <c r="F6" s="76"/>
      <c r="G6" s="249"/>
      <c r="H6" s="250"/>
      <c r="I6" s="247"/>
      <c r="J6" s="251"/>
      <c r="K6" s="62"/>
      <c r="L6" s="61"/>
      <c r="M6" s="62"/>
      <c r="N6" s="61"/>
      <c r="O6" s="62"/>
      <c r="P6" s="62"/>
      <c r="Q6" s="62"/>
      <c r="R6" s="102"/>
      <c r="S6" s="62"/>
      <c r="T6" s="62"/>
      <c r="U6" s="106"/>
      <c r="V6" s="62"/>
      <c r="W6" s="62"/>
      <c r="X6" s="62"/>
    </row>
    <row r="7" spans="1:27" x14ac:dyDescent="0.25">
      <c r="A7" s="104" t="s">
        <v>900</v>
      </c>
      <c r="B7" s="198">
        <v>62</v>
      </c>
      <c r="C7" s="78"/>
      <c r="D7" s="79"/>
      <c r="E7" s="78"/>
      <c r="F7" s="76"/>
      <c r="G7" s="81"/>
      <c r="H7" s="82"/>
      <c r="I7" s="83"/>
      <c r="J7" s="59"/>
      <c r="K7" s="62"/>
      <c r="L7" s="62"/>
      <c r="M7" s="62"/>
      <c r="N7" s="61"/>
      <c r="O7" s="62"/>
      <c r="P7" s="62"/>
      <c r="Q7" s="62"/>
      <c r="R7" s="102"/>
      <c r="S7" s="62"/>
      <c r="T7" s="62"/>
      <c r="U7" s="106"/>
      <c r="V7" s="62"/>
      <c r="W7" s="62"/>
      <c r="X7" s="62"/>
    </row>
    <row r="8" spans="1:27" s="63" customFormat="1" x14ac:dyDescent="0.25">
      <c r="A8" s="104" t="s">
        <v>901</v>
      </c>
      <c r="B8" s="198">
        <v>48</v>
      </c>
      <c r="C8" s="76"/>
      <c r="D8" s="77"/>
      <c r="E8" s="76"/>
      <c r="F8" s="76"/>
      <c r="G8" s="254"/>
      <c r="H8" s="250"/>
      <c r="I8" s="247"/>
      <c r="J8" s="248"/>
      <c r="N8" s="107"/>
      <c r="R8" s="108"/>
      <c r="U8" s="109"/>
    </row>
    <row r="9" spans="1:27" s="63" customFormat="1" x14ac:dyDescent="0.25">
      <c r="A9" s="104" t="s">
        <v>902</v>
      </c>
      <c r="B9" s="198">
        <v>40</v>
      </c>
      <c r="C9" s="78"/>
      <c r="D9" s="77"/>
      <c r="E9" s="76"/>
      <c r="F9" s="76"/>
      <c r="G9" s="254"/>
      <c r="H9" s="250"/>
      <c r="I9" s="247"/>
      <c r="J9" s="248"/>
      <c r="N9" s="107"/>
      <c r="R9" s="108"/>
      <c r="U9" s="109"/>
    </row>
    <row r="10" spans="1:27" x14ac:dyDescent="0.25">
      <c r="A10" s="104" t="s">
        <v>903</v>
      </c>
      <c r="B10" s="198">
        <v>46</v>
      </c>
      <c r="C10" s="60"/>
      <c r="D10" s="80"/>
      <c r="E10" s="60"/>
      <c r="F10" s="60"/>
      <c r="G10" s="242"/>
      <c r="H10" s="243"/>
      <c r="I10" s="240"/>
      <c r="J10" s="245"/>
      <c r="K10" s="106"/>
      <c r="L10" s="62"/>
      <c r="M10" s="62"/>
      <c r="N10" s="66"/>
      <c r="O10" s="62"/>
      <c r="P10" s="62"/>
      <c r="Q10" s="62"/>
      <c r="R10" s="102"/>
      <c r="S10" s="62"/>
      <c r="T10" s="62"/>
      <c r="U10" s="106"/>
      <c r="V10" s="62"/>
      <c r="W10" s="62"/>
      <c r="X10" s="62"/>
    </row>
    <row r="11" spans="1:27" x14ac:dyDescent="0.25">
      <c r="A11" s="104" t="s">
        <v>904</v>
      </c>
      <c r="B11" s="198">
        <v>52</v>
      </c>
      <c r="C11" s="60"/>
      <c r="D11" s="80"/>
      <c r="E11" s="60"/>
      <c r="F11" s="60"/>
      <c r="G11" s="242"/>
      <c r="H11" s="243"/>
      <c r="I11" s="240"/>
      <c r="J11" s="245"/>
      <c r="K11" s="106"/>
      <c r="L11" s="62"/>
      <c r="M11" s="62"/>
      <c r="N11" s="66"/>
      <c r="O11" s="62"/>
      <c r="P11" s="62"/>
      <c r="Q11" s="62"/>
      <c r="R11" s="102"/>
      <c r="S11" s="62"/>
      <c r="T11" s="62"/>
      <c r="U11" s="106"/>
      <c r="V11" s="62"/>
      <c r="W11" s="62"/>
      <c r="X11" s="62"/>
    </row>
    <row r="12" spans="1:27" x14ac:dyDescent="0.25">
      <c r="A12" s="104" t="s">
        <v>905</v>
      </c>
      <c r="B12" s="198">
        <v>38</v>
      </c>
      <c r="C12" s="58"/>
      <c r="D12" s="74"/>
      <c r="E12" s="58"/>
      <c r="F12" s="60"/>
      <c r="G12" s="242"/>
      <c r="H12" s="243"/>
      <c r="I12" s="240"/>
      <c r="J12" s="245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</row>
    <row r="13" spans="1:27" x14ac:dyDescent="0.25">
      <c r="A13" s="239" t="s">
        <v>906</v>
      </c>
      <c r="B13" s="239"/>
      <c r="C13" s="58"/>
      <c r="D13" s="74"/>
      <c r="E13" s="58"/>
      <c r="F13" s="76"/>
      <c r="G13" s="240"/>
      <c r="H13" s="241"/>
      <c r="I13" s="242"/>
      <c r="J13" s="244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</row>
    <row r="14" spans="1:27" ht="24" x14ac:dyDescent="0.25">
      <c r="A14" s="104" t="s">
        <v>907</v>
      </c>
      <c r="B14" s="198">
        <v>100</v>
      </c>
      <c r="C14" s="58"/>
      <c r="D14" s="74"/>
      <c r="E14" s="58"/>
      <c r="F14" s="76"/>
      <c r="G14" s="240"/>
      <c r="H14" s="241"/>
      <c r="I14" s="242"/>
      <c r="J14" s="244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</row>
    <row r="15" spans="1:27" x14ac:dyDescent="0.25">
      <c r="A15" s="104" t="s">
        <v>908</v>
      </c>
      <c r="B15" s="198">
        <v>61</v>
      </c>
      <c r="C15" s="60"/>
      <c r="D15" s="80"/>
      <c r="E15" s="60"/>
      <c r="F15" s="76"/>
      <c r="G15" s="240"/>
      <c r="H15" s="241"/>
      <c r="I15" s="242"/>
      <c r="J15" s="244"/>
      <c r="K15" s="62"/>
      <c r="L15" s="62"/>
      <c r="M15" s="62"/>
      <c r="N15" s="62"/>
      <c r="O15" s="62"/>
      <c r="P15" s="106"/>
      <c r="Q15" s="62"/>
      <c r="R15" s="62"/>
      <c r="S15" s="62"/>
      <c r="T15" s="62"/>
      <c r="U15" s="62"/>
      <c r="V15" s="62"/>
      <c r="W15" s="62"/>
      <c r="X15" s="62"/>
    </row>
    <row r="16" spans="1:27" x14ac:dyDescent="0.25">
      <c r="A16" s="104" t="s">
        <v>909</v>
      </c>
      <c r="B16" s="198">
        <v>68</v>
      </c>
      <c r="C16" s="60"/>
      <c r="D16" s="80"/>
      <c r="E16" s="60"/>
      <c r="F16" s="60"/>
      <c r="G16" s="242"/>
      <c r="H16" s="243"/>
      <c r="I16" s="240"/>
      <c r="J16" s="245"/>
      <c r="K16" s="62"/>
      <c r="L16" s="62"/>
      <c r="M16" s="62"/>
      <c r="N16" s="62"/>
      <c r="O16" s="62"/>
      <c r="P16" s="106"/>
      <c r="Q16" s="62"/>
      <c r="R16" s="62"/>
      <c r="S16" s="62"/>
      <c r="T16" s="62"/>
      <c r="U16" s="62"/>
      <c r="V16" s="62"/>
      <c r="W16" s="62"/>
      <c r="X16" s="62"/>
    </row>
    <row r="17" spans="1:24" x14ac:dyDescent="0.25">
      <c r="A17" s="104" t="s">
        <v>910</v>
      </c>
      <c r="B17" s="198">
        <v>46</v>
      </c>
      <c r="C17" s="60"/>
      <c r="D17" s="80"/>
      <c r="E17" s="60"/>
      <c r="F17" s="60"/>
      <c r="G17" s="242"/>
      <c r="H17" s="243"/>
      <c r="I17" s="240"/>
      <c r="J17" s="245"/>
      <c r="K17" s="62"/>
      <c r="L17" s="62"/>
      <c r="M17" s="62"/>
      <c r="N17" s="62"/>
      <c r="O17" s="62"/>
      <c r="P17" s="106"/>
      <c r="Q17" s="62"/>
      <c r="R17" s="62"/>
      <c r="S17" s="62"/>
      <c r="T17" s="62"/>
      <c r="U17" s="62"/>
      <c r="V17" s="62"/>
      <c r="W17" s="62"/>
      <c r="X17" s="62"/>
    </row>
    <row r="18" spans="1:24" x14ac:dyDescent="0.25">
      <c r="A18" s="104" t="s">
        <v>911</v>
      </c>
      <c r="B18" s="198">
        <v>77</v>
      </c>
      <c r="C18" s="58"/>
      <c r="D18" s="74"/>
      <c r="E18" s="58"/>
      <c r="F18" s="58"/>
      <c r="G18" s="240"/>
      <c r="H18" s="241"/>
      <c r="I18" s="242"/>
      <c r="J18" s="244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</row>
    <row r="19" spans="1:24" x14ac:dyDescent="0.25">
      <c r="A19" s="101" t="s">
        <v>912</v>
      </c>
      <c r="B19" s="203"/>
      <c r="C19" s="58"/>
      <c r="D19" s="74"/>
      <c r="E19" s="58"/>
      <c r="F19" s="58"/>
      <c r="G19" s="240"/>
      <c r="H19" s="241"/>
      <c r="I19" s="242"/>
      <c r="J19" s="244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</row>
    <row r="20" spans="1:24" ht="24" x14ac:dyDescent="0.25">
      <c r="A20" s="104" t="s">
        <v>913</v>
      </c>
      <c r="B20" s="198">
        <v>100</v>
      </c>
      <c r="C20" s="60"/>
      <c r="D20" s="80"/>
      <c r="E20" s="60"/>
      <c r="F20" s="58"/>
      <c r="G20" s="240"/>
      <c r="H20" s="241"/>
      <c r="I20" s="242"/>
      <c r="J20" s="244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</row>
    <row r="21" spans="1:24" ht="28.9" customHeight="1" x14ac:dyDescent="0.25">
      <c r="A21" s="104" t="s">
        <v>914</v>
      </c>
      <c r="B21" s="198">
        <v>68</v>
      </c>
      <c r="C21" s="60"/>
      <c r="D21" s="80"/>
      <c r="E21" s="60"/>
      <c r="F21" s="60"/>
      <c r="G21" s="72"/>
      <c r="H21" s="84"/>
      <c r="I21" s="72"/>
      <c r="J21" s="59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</row>
    <row r="22" spans="1:24" x14ac:dyDescent="0.25">
      <c r="A22" s="104" t="s">
        <v>915</v>
      </c>
      <c r="B22" s="198"/>
      <c r="C22" s="58"/>
      <c r="D22" s="74"/>
      <c r="E22" s="58"/>
      <c r="F22" s="58"/>
      <c r="G22" s="240"/>
      <c r="H22" s="241"/>
      <c r="I22" s="246"/>
      <c r="J22" s="244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</row>
    <row r="23" spans="1:24" x14ac:dyDescent="0.25">
      <c r="A23" s="104" t="s">
        <v>916</v>
      </c>
      <c r="B23" s="198">
        <v>80</v>
      </c>
      <c r="C23" s="58"/>
      <c r="D23" s="74"/>
      <c r="E23" s="58"/>
      <c r="F23" s="58"/>
      <c r="G23" s="240"/>
      <c r="H23" s="241"/>
      <c r="I23" s="246"/>
      <c r="J23" s="244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</row>
    <row r="24" spans="1:24" s="62" customFormat="1" x14ac:dyDescent="0.25">
      <c r="A24" s="104" t="s">
        <v>917</v>
      </c>
      <c r="B24" s="198">
        <v>61</v>
      </c>
      <c r="C24" s="60"/>
      <c r="D24" s="80"/>
      <c r="E24" s="60"/>
      <c r="F24" s="60"/>
      <c r="G24" s="60"/>
      <c r="H24" s="60"/>
      <c r="I24" s="60"/>
      <c r="J24" s="244"/>
    </row>
    <row r="25" spans="1:24" s="62" customFormat="1" x14ac:dyDescent="0.25">
      <c r="A25" s="104" t="s">
        <v>865</v>
      </c>
      <c r="B25" s="198">
        <v>70</v>
      </c>
      <c r="C25" s="60"/>
      <c r="D25" s="80"/>
      <c r="E25" s="60"/>
      <c r="F25" s="60"/>
      <c r="G25" s="242"/>
      <c r="H25" s="243"/>
      <c r="I25" s="242"/>
      <c r="J25" s="245"/>
    </row>
    <row r="26" spans="1:24" s="62" customFormat="1" x14ac:dyDescent="0.25">
      <c r="A26" s="104" t="s">
        <v>918</v>
      </c>
      <c r="B26" s="198">
        <v>72</v>
      </c>
      <c r="C26" s="60"/>
      <c r="D26" s="80"/>
      <c r="E26" s="60"/>
      <c r="F26" s="60"/>
      <c r="G26" s="242"/>
      <c r="H26" s="243"/>
      <c r="I26" s="242"/>
      <c r="J26" s="245"/>
    </row>
    <row r="27" spans="1:24" x14ac:dyDescent="0.25">
      <c r="A27" s="104" t="s">
        <v>919</v>
      </c>
      <c r="B27" s="198">
        <v>48</v>
      </c>
      <c r="C27" s="58"/>
      <c r="D27" s="74"/>
      <c r="E27" s="58"/>
      <c r="F27" s="58"/>
      <c r="G27" s="240"/>
      <c r="H27" s="241"/>
      <c r="I27" s="240"/>
      <c r="J27" s="244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</row>
    <row r="28" spans="1:24" ht="24" x14ac:dyDescent="0.25">
      <c r="A28" s="104" t="s">
        <v>920</v>
      </c>
      <c r="B28" s="198">
        <v>68</v>
      </c>
      <c r="C28" s="58"/>
      <c r="D28" s="74"/>
      <c r="E28" s="58"/>
      <c r="F28" s="58"/>
      <c r="G28" s="240"/>
      <c r="H28" s="241"/>
      <c r="I28" s="240"/>
      <c r="J28" s="244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</row>
    <row r="29" spans="1:24" x14ac:dyDescent="0.25">
      <c r="A29" s="239" t="s">
        <v>921</v>
      </c>
      <c r="B29" s="239"/>
      <c r="C29" s="60"/>
      <c r="D29" s="80"/>
      <c r="E29" s="60"/>
      <c r="F29" s="60"/>
      <c r="G29" s="242"/>
      <c r="H29" s="243"/>
      <c r="I29" s="242"/>
      <c r="J29" s="245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</row>
    <row r="30" spans="1:24" x14ac:dyDescent="0.25">
      <c r="A30" s="239"/>
      <c r="B30" s="239"/>
      <c r="C30" s="60"/>
      <c r="D30" s="80"/>
      <c r="E30" s="60"/>
      <c r="F30" s="60"/>
      <c r="G30" s="242"/>
      <c r="H30" s="243"/>
      <c r="I30" s="242"/>
      <c r="J30" s="245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</row>
    <row r="31" spans="1:24" ht="24" x14ac:dyDescent="0.25">
      <c r="A31" s="104" t="s">
        <v>922</v>
      </c>
      <c r="B31" s="198">
        <v>100</v>
      </c>
      <c r="C31" s="58"/>
      <c r="D31" s="74"/>
      <c r="E31" s="58"/>
      <c r="F31" s="58"/>
      <c r="G31" s="240"/>
      <c r="H31" s="241"/>
      <c r="I31" s="242"/>
      <c r="J31" s="244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</row>
    <row r="32" spans="1:24" x14ac:dyDescent="0.25">
      <c r="A32" s="104" t="s">
        <v>923</v>
      </c>
      <c r="B32" s="198">
        <v>70</v>
      </c>
      <c r="C32" s="58"/>
      <c r="D32" s="74"/>
      <c r="E32" s="58"/>
      <c r="F32" s="58"/>
      <c r="G32" s="240"/>
      <c r="H32" s="241"/>
      <c r="I32" s="242"/>
      <c r="J32" s="244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</row>
    <row r="33" spans="1:24" x14ac:dyDescent="0.25">
      <c r="A33" s="104" t="s">
        <v>924</v>
      </c>
      <c r="B33" s="198">
        <v>90</v>
      </c>
      <c r="C33" s="60"/>
      <c r="D33" s="80"/>
      <c r="E33" s="60"/>
      <c r="F33" s="58"/>
      <c r="G33" s="240"/>
      <c r="H33" s="241"/>
      <c r="I33" s="242"/>
      <c r="J33" s="244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</row>
    <row r="34" spans="1:24" x14ac:dyDescent="0.25">
      <c r="A34" s="104" t="s">
        <v>925</v>
      </c>
      <c r="B34" s="198">
        <v>84</v>
      </c>
      <c r="C34" s="60"/>
      <c r="D34" s="80"/>
      <c r="E34" s="60"/>
      <c r="F34" s="60"/>
      <c r="G34" s="242"/>
      <c r="H34" s="243"/>
      <c r="I34" s="240"/>
      <c r="J34" s="245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</row>
    <row r="35" spans="1:24" x14ac:dyDescent="0.25">
      <c r="A35" s="104" t="s">
        <v>926</v>
      </c>
      <c r="B35" s="198">
        <v>40</v>
      </c>
      <c r="C35" s="60"/>
      <c r="D35" s="80"/>
      <c r="E35" s="60"/>
      <c r="F35" s="60"/>
      <c r="G35" s="242"/>
      <c r="H35" s="243"/>
      <c r="I35" s="240"/>
      <c r="J35" s="245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</row>
    <row r="36" spans="1:24" x14ac:dyDescent="0.25">
      <c r="A36" s="104" t="s">
        <v>927</v>
      </c>
      <c r="B36" s="198">
        <v>83</v>
      </c>
      <c r="C36" s="58"/>
      <c r="D36" s="74"/>
      <c r="E36" s="58"/>
      <c r="F36" s="60"/>
      <c r="G36" s="242"/>
      <c r="H36" s="243"/>
      <c r="I36" s="240"/>
      <c r="J36" s="245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</row>
    <row r="37" spans="1:24" ht="24" x14ac:dyDescent="0.25">
      <c r="A37" s="104" t="s">
        <v>928</v>
      </c>
      <c r="B37" s="198">
        <v>48</v>
      </c>
      <c r="C37" s="58"/>
      <c r="D37" s="74"/>
      <c r="E37" s="58"/>
      <c r="F37" s="58"/>
      <c r="G37" s="240"/>
      <c r="H37" s="241"/>
      <c r="I37" s="242"/>
      <c r="J37" s="244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</row>
    <row r="38" spans="1:24" x14ac:dyDescent="0.25">
      <c r="A38" s="104" t="s">
        <v>929</v>
      </c>
      <c r="B38" s="198">
        <v>32</v>
      </c>
      <c r="C38" s="58"/>
      <c r="D38" s="74"/>
      <c r="E38" s="58"/>
      <c r="F38" s="58"/>
      <c r="G38" s="240"/>
      <c r="H38" s="241"/>
      <c r="I38" s="242"/>
      <c r="J38" s="244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</row>
    <row r="39" spans="1:24" x14ac:dyDescent="0.25">
      <c r="A39" s="239" t="s">
        <v>930</v>
      </c>
      <c r="B39" s="239"/>
      <c r="C39" s="60"/>
      <c r="D39" s="80"/>
      <c r="E39" s="60"/>
      <c r="F39" s="60"/>
      <c r="G39" s="240"/>
      <c r="H39" s="241"/>
      <c r="I39" s="242"/>
      <c r="J39" s="244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</row>
    <row r="40" spans="1:24" x14ac:dyDescent="0.25">
      <c r="A40" s="239"/>
      <c r="B40" s="239"/>
      <c r="C40" s="60"/>
      <c r="D40" s="80"/>
      <c r="E40" s="60"/>
      <c r="F40" s="60"/>
      <c r="G40" s="80"/>
      <c r="H40" s="80"/>
      <c r="I40" s="60"/>
      <c r="J40" s="59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</row>
    <row r="41" spans="1:24" ht="24" x14ac:dyDescent="0.25">
      <c r="A41" s="104" t="s">
        <v>931</v>
      </c>
      <c r="B41" s="198">
        <v>100</v>
      </c>
      <c r="C41" s="58"/>
      <c r="D41" s="74"/>
      <c r="E41" s="58"/>
      <c r="F41" s="60"/>
      <c r="G41" s="240"/>
      <c r="H41" s="241"/>
      <c r="I41" s="240"/>
      <c r="J41" s="244"/>
      <c r="P41" s="62"/>
      <c r="Q41" s="62"/>
      <c r="R41" s="62"/>
      <c r="S41" s="62"/>
      <c r="T41" s="62"/>
      <c r="U41" s="62"/>
      <c r="V41" s="62"/>
      <c r="W41" s="62"/>
      <c r="X41" s="62"/>
    </row>
    <row r="42" spans="1:24" x14ac:dyDescent="0.25">
      <c r="A42" s="104" t="s">
        <v>932</v>
      </c>
      <c r="B42" s="198">
        <v>69</v>
      </c>
      <c r="C42" s="58"/>
      <c r="D42" s="74"/>
      <c r="E42" s="58"/>
      <c r="F42" s="60"/>
      <c r="G42" s="240"/>
      <c r="H42" s="241"/>
      <c r="I42" s="240"/>
      <c r="J42" s="244"/>
      <c r="P42" s="62"/>
      <c r="Q42" s="62"/>
      <c r="R42" s="62"/>
      <c r="S42" s="62"/>
      <c r="T42" s="62"/>
      <c r="U42" s="62"/>
      <c r="V42" s="62"/>
      <c r="W42" s="62"/>
      <c r="X42" s="62"/>
    </row>
    <row r="43" spans="1:24" x14ac:dyDescent="0.25">
      <c r="A43" s="104" t="s">
        <v>933</v>
      </c>
      <c r="B43" s="198">
        <v>28</v>
      </c>
      <c r="C43" s="60"/>
      <c r="D43" s="80"/>
      <c r="E43" s="60"/>
      <c r="F43" s="60"/>
      <c r="G43" s="242"/>
      <c r="H43" s="243"/>
      <c r="I43" s="240"/>
      <c r="J43" s="245"/>
    </row>
    <row r="44" spans="1:24" x14ac:dyDescent="0.25">
      <c r="A44" s="104" t="s">
        <v>934</v>
      </c>
      <c r="B44" s="198">
        <v>12</v>
      </c>
      <c r="C44" s="60"/>
      <c r="D44" s="80"/>
      <c r="E44" s="60"/>
      <c r="F44" s="60"/>
      <c r="G44" s="242"/>
      <c r="H44" s="243"/>
      <c r="I44" s="240"/>
      <c r="J44" s="245"/>
    </row>
    <row r="45" spans="1:24" x14ac:dyDescent="0.25">
      <c r="A45" s="104" t="s">
        <v>935</v>
      </c>
      <c r="B45" s="198">
        <v>81</v>
      </c>
      <c r="C45" s="58"/>
      <c r="D45" s="74"/>
      <c r="E45" s="58"/>
      <c r="F45" s="60"/>
      <c r="G45" s="242"/>
      <c r="H45" s="243"/>
      <c r="I45" s="240"/>
      <c r="J45" s="245"/>
    </row>
    <row r="46" spans="1:24" x14ac:dyDescent="0.25">
      <c r="A46" s="104" t="s">
        <v>936</v>
      </c>
      <c r="B46" s="198">
        <v>60</v>
      </c>
      <c r="C46" s="58"/>
      <c r="D46" s="74"/>
      <c r="E46" s="58"/>
      <c r="F46" s="58"/>
      <c r="G46" s="240"/>
      <c r="H46" s="241"/>
      <c r="I46" s="242"/>
      <c r="J46" s="244"/>
    </row>
    <row r="47" spans="1:24" x14ac:dyDescent="0.25">
      <c r="A47" s="104" t="s">
        <v>937</v>
      </c>
      <c r="B47" s="198">
        <v>46</v>
      </c>
      <c r="C47" s="58"/>
      <c r="D47" s="74"/>
      <c r="E47" s="58"/>
      <c r="F47" s="58"/>
      <c r="G47" s="240"/>
      <c r="H47" s="241"/>
      <c r="I47" s="242"/>
      <c r="J47" s="244"/>
    </row>
    <row r="48" spans="1:24" x14ac:dyDescent="0.25">
      <c r="A48" s="104" t="s">
        <v>938</v>
      </c>
      <c r="B48" s="198">
        <v>69</v>
      </c>
      <c r="C48" s="60"/>
      <c r="D48" s="80"/>
      <c r="E48" s="60"/>
      <c r="F48" s="58"/>
      <c r="G48" s="240"/>
      <c r="H48" s="241"/>
      <c r="I48" s="242"/>
      <c r="J48" s="244"/>
    </row>
    <row r="49" spans="1:10" x14ac:dyDescent="0.25">
      <c r="A49" s="104" t="s">
        <v>939</v>
      </c>
      <c r="B49" s="198">
        <v>68</v>
      </c>
      <c r="C49" s="60"/>
      <c r="D49" s="80"/>
      <c r="E49" s="60"/>
      <c r="F49" s="60"/>
      <c r="G49" s="60"/>
      <c r="H49" s="80"/>
      <c r="I49" s="60"/>
      <c r="J49" s="59"/>
    </row>
    <row r="50" spans="1:10" x14ac:dyDescent="0.25">
      <c r="A50" s="104" t="s">
        <v>940</v>
      </c>
      <c r="B50" s="198">
        <v>48</v>
      </c>
    </row>
    <row r="51" spans="1:10" x14ac:dyDescent="0.25">
      <c r="A51" s="104" t="s">
        <v>941</v>
      </c>
      <c r="B51" s="198">
        <v>28</v>
      </c>
    </row>
    <row r="52" spans="1:10" x14ac:dyDescent="0.25">
      <c r="A52" s="239" t="s">
        <v>942</v>
      </c>
      <c r="B52" s="239"/>
    </row>
    <row r="53" spans="1:10" ht="24" x14ac:dyDescent="0.25">
      <c r="A53" s="104" t="s">
        <v>943</v>
      </c>
      <c r="B53" s="198">
        <v>100</v>
      </c>
    </row>
    <row r="54" spans="1:10" x14ac:dyDescent="0.25">
      <c r="A54" s="104" t="s">
        <v>944</v>
      </c>
      <c r="B54" s="198">
        <v>68</v>
      </c>
      <c r="C54" s="55"/>
      <c r="D54" s="55"/>
      <c r="E54" s="55"/>
      <c r="F54" s="55"/>
      <c r="G54" s="55"/>
      <c r="H54" s="55"/>
      <c r="I54" s="55"/>
      <c r="J54" s="56"/>
    </row>
    <row r="55" spans="1:10" x14ac:dyDescent="0.25">
      <c r="A55" s="104" t="s">
        <v>945</v>
      </c>
      <c r="B55" s="198">
        <v>77</v>
      </c>
      <c r="C55" s="55"/>
      <c r="D55" s="55"/>
      <c r="E55" s="55"/>
      <c r="F55" s="55"/>
      <c r="G55" s="55"/>
      <c r="H55" s="55"/>
      <c r="I55" s="55"/>
      <c r="J55" s="56"/>
    </row>
    <row r="56" spans="1:10" x14ac:dyDescent="0.25">
      <c r="A56" s="104" t="s">
        <v>946</v>
      </c>
      <c r="B56" s="198">
        <v>48</v>
      </c>
      <c r="C56" s="58"/>
      <c r="D56" s="58"/>
      <c r="E56" s="58"/>
      <c r="F56" s="58"/>
      <c r="G56" s="58"/>
      <c r="H56" s="58"/>
      <c r="I56" s="58"/>
      <c r="J56" s="59"/>
    </row>
    <row r="57" spans="1:10" x14ac:dyDescent="0.25">
      <c r="A57" s="104" t="s">
        <v>947</v>
      </c>
      <c r="B57" s="198">
        <v>26</v>
      </c>
      <c r="C57" s="58"/>
      <c r="D57" s="58"/>
      <c r="E57" s="58"/>
      <c r="F57" s="58"/>
      <c r="G57" s="58"/>
      <c r="H57" s="58"/>
      <c r="I57" s="58"/>
      <c r="J57" s="59"/>
    </row>
    <row r="58" spans="1:10" x14ac:dyDescent="0.25">
      <c r="A58" s="104" t="s">
        <v>948</v>
      </c>
      <c r="B58" s="198">
        <v>66</v>
      </c>
      <c r="C58" s="58"/>
      <c r="D58" s="58"/>
      <c r="E58" s="58"/>
      <c r="F58" s="58"/>
      <c r="G58" s="58"/>
      <c r="H58" s="58"/>
      <c r="I58" s="58"/>
      <c r="J58" s="59"/>
    </row>
    <row r="59" spans="1:10" x14ac:dyDescent="0.25">
      <c r="A59" s="104" t="s">
        <v>949</v>
      </c>
      <c r="B59" s="198">
        <v>30</v>
      </c>
      <c r="C59" s="60"/>
      <c r="D59" s="60"/>
      <c r="E59" s="60"/>
      <c r="F59" s="60"/>
      <c r="G59" s="60"/>
      <c r="H59" s="60"/>
      <c r="I59" s="60"/>
      <c r="J59" s="56"/>
    </row>
    <row r="60" spans="1:10" x14ac:dyDescent="0.25">
      <c r="A60" s="239" t="s">
        <v>950</v>
      </c>
      <c r="B60" s="239"/>
      <c r="C60" s="58"/>
      <c r="D60" s="58"/>
      <c r="E60" s="58"/>
      <c r="F60" s="58"/>
      <c r="G60" s="58"/>
      <c r="H60" s="58"/>
      <c r="I60" s="58"/>
      <c r="J60" s="59"/>
    </row>
    <row r="61" spans="1:10" x14ac:dyDescent="0.25">
      <c r="A61" s="104" t="s">
        <v>950</v>
      </c>
      <c r="B61" s="198">
        <v>0</v>
      </c>
      <c r="C61" s="60"/>
      <c r="D61" s="60"/>
      <c r="E61" s="60"/>
      <c r="F61" s="60"/>
      <c r="G61" s="60"/>
      <c r="H61" s="60"/>
      <c r="I61" s="60"/>
      <c r="J61" s="56"/>
    </row>
    <row r="62" spans="1:10" x14ac:dyDescent="0.25">
      <c r="A62" s="104"/>
      <c r="B62" s="198"/>
      <c r="C62" s="58"/>
      <c r="D62" s="58"/>
      <c r="E62" s="58"/>
      <c r="F62" s="58"/>
      <c r="G62" s="58"/>
      <c r="H62" s="58"/>
      <c r="I62" s="58"/>
      <c r="J62" s="59"/>
    </row>
    <row r="63" spans="1:10" x14ac:dyDescent="0.25">
      <c r="A63" s="100" t="s">
        <v>820</v>
      </c>
      <c r="B63" s="237" t="s">
        <v>860</v>
      </c>
      <c r="C63" s="67" t="s">
        <v>894</v>
      </c>
      <c r="D63" s="60"/>
      <c r="E63" s="60"/>
      <c r="F63" s="60"/>
      <c r="G63" s="60"/>
      <c r="H63" s="60"/>
      <c r="I63" s="60"/>
      <c r="J63" s="56"/>
    </row>
    <row r="64" spans="1:10" x14ac:dyDescent="0.25">
      <c r="A64" s="85" t="s">
        <v>888</v>
      </c>
      <c r="B64" s="204">
        <v>1</v>
      </c>
      <c r="C64" s="86"/>
      <c r="D64" s="58"/>
      <c r="E64" s="58"/>
      <c r="F64" s="58"/>
      <c r="G64" s="58"/>
      <c r="H64" s="58"/>
      <c r="I64" s="58"/>
      <c r="J64" s="59"/>
    </row>
    <row r="65" spans="1:10" x14ac:dyDescent="0.25">
      <c r="A65" s="85" t="s">
        <v>889</v>
      </c>
      <c r="B65" s="205"/>
      <c r="C65" s="86"/>
      <c r="D65" s="60"/>
      <c r="E65" s="60"/>
      <c r="F65" s="60"/>
      <c r="G65" s="60"/>
      <c r="H65" s="60"/>
      <c r="I65" s="60"/>
      <c r="J65" s="56"/>
    </row>
    <row r="66" spans="1:10" x14ac:dyDescent="0.25">
      <c r="A66" s="87" t="s">
        <v>891</v>
      </c>
      <c r="B66" s="204">
        <v>0.67</v>
      </c>
      <c r="C66" s="86">
        <v>0.67</v>
      </c>
      <c r="D66" s="58"/>
      <c r="E66" s="58"/>
      <c r="F66" s="58"/>
      <c r="G66" s="58"/>
      <c r="H66" s="58"/>
      <c r="I66" s="58"/>
      <c r="J66" s="59"/>
    </row>
    <row r="67" spans="1:10" x14ac:dyDescent="0.25">
      <c r="A67" s="87" t="s">
        <v>892</v>
      </c>
      <c r="B67" s="204">
        <v>0.33</v>
      </c>
      <c r="C67" s="86">
        <v>0.33</v>
      </c>
      <c r="D67" s="60"/>
      <c r="E67" s="60"/>
      <c r="F67" s="60"/>
      <c r="G67" s="60"/>
      <c r="H67" s="60"/>
      <c r="I67" s="60"/>
      <c r="J67" s="56"/>
    </row>
    <row r="68" spans="1:10" x14ac:dyDescent="0.25">
      <c r="A68" s="85" t="s">
        <v>890</v>
      </c>
      <c r="B68" s="206"/>
      <c r="C68" s="86"/>
      <c r="D68" s="58"/>
      <c r="E68" s="58"/>
      <c r="F68" s="58"/>
      <c r="G68" s="58"/>
      <c r="H68" s="58"/>
      <c r="I68" s="58"/>
      <c r="J68" s="59"/>
    </row>
    <row r="69" spans="1:10" x14ac:dyDescent="0.25">
      <c r="A69" s="87" t="s">
        <v>891</v>
      </c>
      <c r="B69" s="204">
        <v>0.55000000000000004</v>
      </c>
      <c r="C69" s="86">
        <v>0.55000000000000004</v>
      </c>
      <c r="D69" s="60"/>
      <c r="E69" s="60"/>
      <c r="F69" s="60"/>
      <c r="G69" s="60"/>
      <c r="H69" s="60"/>
      <c r="I69" s="60"/>
      <c r="J69" s="56"/>
    </row>
    <row r="70" spans="1:10" x14ac:dyDescent="0.25">
      <c r="A70" s="87" t="s">
        <v>892</v>
      </c>
      <c r="B70" s="204">
        <v>0.27</v>
      </c>
      <c r="C70" s="86">
        <v>0.27</v>
      </c>
      <c r="D70" s="58"/>
      <c r="E70" s="58"/>
      <c r="F70" s="58"/>
      <c r="G70" s="58"/>
      <c r="H70" s="58"/>
      <c r="I70" s="58"/>
      <c r="J70" s="59"/>
    </row>
    <row r="71" spans="1:10" x14ac:dyDescent="0.25">
      <c r="A71" s="87" t="s">
        <v>893</v>
      </c>
      <c r="B71" s="204">
        <v>0.18</v>
      </c>
      <c r="C71" s="86">
        <v>0.18</v>
      </c>
      <c r="D71" s="60"/>
      <c r="E71" s="60"/>
      <c r="F71" s="60"/>
      <c r="G71" s="60"/>
      <c r="H71" s="60"/>
      <c r="I71" s="60"/>
      <c r="J71" s="56"/>
    </row>
    <row r="72" spans="1:10" x14ac:dyDescent="0.2">
      <c r="A72" s="57"/>
      <c r="B72" s="196"/>
      <c r="C72" s="58"/>
      <c r="D72" s="58"/>
      <c r="E72" s="58"/>
      <c r="F72" s="58"/>
      <c r="G72" s="58"/>
      <c r="H72" s="58"/>
      <c r="I72" s="58"/>
      <c r="J72" s="59"/>
    </row>
    <row r="73" spans="1:10" x14ac:dyDescent="0.2">
      <c r="A73" s="54"/>
      <c r="B73" s="197"/>
      <c r="C73" s="60"/>
      <c r="D73" s="60"/>
      <c r="E73" s="60"/>
      <c r="F73" s="60"/>
      <c r="G73" s="60"/>
      <c r="H73" s="60"/>
      <c r="I73" s="60"/>
      <c r="J73" s="56"/>
    </row>
    <row r="74" spans="1:10" x14ac:dyDescent="0.2">
      <c r="A74" s="57"/>
      <c r="B74" s="196"/>
      <c r="C74" s="58"/>
      <c r="D74" s="58"/>
      <c r="E74" s="58"/>
      <c r="F74" s="58"/>
      <c r="G74" s="58"/>
      <c r="H74" s="58"/>
      <c r="I74" s="58"/>
      <c r="J74" s="59"/>
    </row>
    <row r="75" spans="1:10" x14ac:dyDescent="0.2">
      <c r="A75" s="54"/>
      <c r="B75" s="197"/>
      <c r="C75" s="60"/>
      <c r="D75" s="60"/>
      <c r="E75" s="60"/>
      <c r="F75" s="60"/>
      <c r="G75" s="60"/>
      <c r="H75" s="60"/>
      <c r="I75" s="60"/>
      <c r="J75" s="56"/>
    </row>
    <row r="76" spans="1:10" x14ac:dyDescent="0.2">
      <c r="A76" s="57"/>
      <c r="B76" s="196"/>
      <c r="C76" s="58"/>
      <c r="D76" s="58"/>
      <c r="E76" s="58"/>
      <c r="F76" s="58"/>
      <c r="G76" s="58"/>
      <c r="H76" s="58"/>
      <c r="I76" s="58"/>
      <c r="J76" s="59"/>
    </row>
    <row r="77" spans="1:10" x14ac:dyDescent="0.2">
      <c r="C77" s="60"/>
      <c r="D77" s="60"/>
      <c r="E77" s="60"/>
      <c r="F77" s="60"/>
      <c r="G77" s="60"/>
      <c r="H77" s="60"/>
      <c r="I77" s="60"/>
      <c r="J77" s="56"/>
    </row>
    <row r="78" spans="1:10" x14ac:dyDescent="0.2">
      <c r="C78" s="58"/>
      <c r="D78" s="58"/>
      <c r="E78" s="58"/>
      <c r="F78" s="58"/>
      <c r="G78" s="58"/>
      <c r="H78" s="58"/>
      <c r="I78" s="58"/>
      <c r="J78" s="59"/>
    </row>
  </sheetData>
  <mergeCells count="75">
    <mergeCell ref="A2:B2"/>
    <mergeCell ref="E1:G1"/>
    <mergeCell ref="G2:G4"/>
    <mergeCell ref="H2:H4"/>
    <mergeCell ref="G8:G9"/>
    <mergeCell ref="H8:H9"/>
    <mergeCell ref="I8:I9"/>
    <mergeCell ref="J8:J9"/>
    <mergeCell ref="I2:I4"/>
    <mergeCell ref="J2:J4"/>
    <mergeCell ref="G5:G6"/>
    <mergeCell ref="H5:H6"/>
    <mergeCell ref="I5:I6"/>
    <mergeCell ref="J5:J6"/>
    <mergeCell ref="G13:G15"/>
    <mergeCell ref="H13:H15"/>
    <mergeCell ref="I13:I15"/>
    <mergeCell ref="J13:J15"/>
    <mergeCell ref="G10:G12"/>
    <mergeCell ref="H10:H12"/>
    <mergeCell ref="I10:I12"/>
    <mergeCell ref="J10:J12"/>
    <mergeCell ref="I18:I20"/>
    <mergeCell ref="J18:J20"/>
    <mergeCell ref="G16:G17"/>
    <mergeCell ref="H16:H17"/>
    <mergeCell ref="I16:I17"/>
    <mergeCell ref="J16:J17"/>
    <mergeCell ref="I25:I26"/>
    <mergeCell ref="J25:J26"/>
    <mergeCell ref="G22:G23"/>
    <mergeCell ref="H22:H23"/>
    <mergeCell ref="I22:I23"/>
    <mergeCell ref="J22:J24"/>
    <mergeCell ref="I29:I30"/>
    <mergeCell ref="J29:J30"/>
    <mergeCell ref="G27:G28"/>
    <mergeCell ref="H27:H28"/>
    <mergeCell ref="I27:I28"/>
    <mergeCell ref="J27:J28"/>
    <mergeCell ref="I34:I36"/>
    <mergeCell ref="J34:J36"/>
    <mergeCell ref="G31:G33"/>
    <mergeCell ref="H31:H33"/>
    <mergeCell ref="I31:I33"/>
    <mergeCell ref="J31:J33"/>
    <mergeCell ref="I41:I42"/>
    <mergeCell ref="J41:J42"/>
    <mergeCell ref="A39:B40"/>
    <mergeCell ref="G37:G39"/>
    <mergeCell ref="H37:H39"/>
    <mergeCell ref="I37:I39"/>
    <mergeCell ref="J37:J39"/>
    <mergeCell ref="I46:I48"/>
    <mergeCell ref="J46:J48"/>
    <mergeCell ref="G43:G45"/>
    <mergeCell ref="H43:H45"/>
    <mergeCell ref="I43:I45"/>
    <mergeCell ref="J43:J45"/>
    <mergeCell ref="A52:B52"/>
    <mergeCell ref="A60:B60"/>
    <mergeCell ref="A13:B13"/>
    <mergeCell ref="G46:G48"/>
    <mergeCell ref="H46:H48"/>
    <mergeCell ref="G41:G42"/>
    <mergeCell ref="H41:H42"/>
    <mergeCell ref="G34:G36"/>
    <mergeCell ref="H34:H36"/>
    <mergeCell ref="A29:B30"/>
    <mergeCell ref="G29:G30"/>
    <mergeCell ref="H29:H30"/>
    <mergeCell ref="G25:G26"/>
    <mergeCell ref="H25:H26"/>
    <mergeCell ref="G18:G20"/>
    <mergeCell ref="H18:H20"/>
  </mergeCells>
  <pageMargins left="0.7" right="0.7" top="0.75" bottom="0.75" header="0.3" footer="0.3"/>
  <pageSetup paperSize="9" scale="1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30DBF-97D4-44A3-85C9-64607C0FC3AE}">
  <dimension ref="A1:AG84"/>
  <sheetViews>
    <sheetView view="pageBreakPreview" zoomScaleNormal="70" zoomScaleSheetLayoutView="100" workbookViewId="0">
      <pane ySplit="1" topLeftCell="A25" activePane="bottomLeft" state="frozen"/>
      <selection pane="bottomLeft" activeCell="A2" sqref="A2:B2"/>
    </sheetView>
  </sheetViews>
  <sheetFormatPr defaultColWidth="9.140625" defaultRowHeight="14.25" x14ac:dyDescent="0.2"/>
  <cols>
    <col min="1" max="1" width="8.5703125" style="91" customWidth="1"/>
    <col min="2" max="2" width="24.7109375" style="110" customWidth="1"/>
    <col min="3" max="3" width="23.42578125" style="1" customWidth="1"/>
    <col min="4" max="4" width="15.140625" style="1" customWidth="1"/>
    <col min="5" max="5" width="10.42578125" style="1" customWidth="1"/>
    <col min="6" max="7" width="5.7109375" style="1" customWidth="1"/>
    <col min="8" max="8" width="11.28515625" style="1" customWidth="1"/>
    <col min="9" max="9" width="16.7109375" style="1" customWidth="1"/>
    <col min="10" max="10" width="52.85546875" style="14" customWidth="1"/>
    <col min="11" max="11" width="43.5703125" style="71" customWidth="1"/>
    <col min="12" max="12" width="13.28515625" style="71" customWidth="1"/>
    <col min="13" max="13" width="16.28515625" style="1" customWidth="1"/>
    <col min="14" max="14" width="12.140625" style="1" customWidth="1"/>
    <col min="15" max="15" width="13.85546875" style="1" customWidth="1"/>
    <col min="16" max="16" width="18.140625" style="1" customWidth="1"/>
    <col min="17" max="17" width="23.28515625" style="1" customWidth="1"/>
    <col min="18" max="18" width="17.5703125" style="1" customWidth="1"/>
    <col min="19" max="19" width="21.140625" style="1" customWidth="1"/>
    <col min="20" max="20" width="27" style="1" customWidth="1"/>
    <col min="21" max="21" width="10.7109375" style="1" customWidth="1"/>
    <col min="22" max="22" width="12.7109375" style="1" customWidth="1"/>
    <col min="23" max="23" width="36" style="1" customWidth="1"/>
    <col min="24" max="24" width="20.28515625" style="1" customWidth="1"/>
    <col min="25" max="26" width="9.140625" style="1" customWidth="1"/>
    <col min="27" max="27" width="9.140625" style="1"/>
    <col min="28" max="28" width="9.140625" style="1" customWidth="1"/>
    <col min="29" max="16384" width="9.140625" style="1"/>
  </cols>
  <sheetData>
    <row r="1" spans="1:33" s="148" customFormat="1" ht="78.75" x14ac:dyDescent="0.2">
      <c r="A1" s="162" t="s">
        <v>817</v>
      </c>
      <c r="B1" s="163" t="s">
        <v>818</v>
      </c>
      <c r="C1" s="164" t="s">
        <v>819</v>
      </c>
      <c r="D1" s="164" t="s">
        <v>849</v>
      </c>
      <c r="E1" s="286" t="s">
        <v>820</v>
      </c>
      <c r="F1" s="287"/>
      <c r="G1" s="288"/>
      <c r="H1" s="165" t="s">
        <v>10</v>
      </c>
      <c r="I1" s="164" t="s">
        <v>821</v>
      </c>
      <c r="J1" s="166" t="s">
        <v>822</v>
      </c>
      <c r="K1" s="167" t="s">
        <v>1167</v>
      </c>
      <c r="L1" s="168" t="s">
        <v>860</v>
      </c>
      <c r="P1" s="156"/>
      <c r="Q1" s="156"/>
      <c r="R1" s="156"/>
      <c r="S1" s="156"/>
      <c r="T1" s="156"/>
      <c r="U1" s="156"/>
      <c r="V1" s="156"/>
      <c r="W1" s="156"/>
      <c r="X1" s="156"/>
      <c r="Y1" s="157"/>
      <c r="Z1" s="157"/>
      <c r="AA1" s="157"/>
    </row>
    <row r="2" spans="1:33" ht="16.149999999999999" customHeight="1" x14ac:dyDescent="0.2">
      <c r="A2" s="289" t="s">
        <v>1098</v>
      </c>
      <c r="B2" s="289"/>
      <c r="C2" s="120"/>
      <c r="D2" s="104" t="s">
        <v>885</v>
      </c>
      <c r="E2" s="290"/>
      <c r="F2" s="290"/>
      <c r="G2" s="290"/>
      <c r="H2" s="120"/>
      <c r="I2" s="120"/>
      <c r="J2" s="121"/>
      <c r="K2" s="68"/>
      <c r="L2" s="73"/>
      <c r="P2" s="39"/>
      <c r="Q2" s="39"/>
      <c r="R2" s="45"/>
      <c r="S2" s="39"/>
      <c r="T2" s="39"/>
      <c r="U2" s="39"/>
      <c r="V2" s="39"/>
      <c r="W2" s="39"/>
      <c r="X2" s="39"/>
      <c r="Y2" s="43"/>
      <c r="Z2" s="43"/>
      <c r="AA2" s="43"/>
    </row>
    <row r="3" spans="1:33" ht="22.9" customHeight="1" x14ac:dyDescent="0.2">
      <c r="A3" s="208" t="s">
        <v>659</v>
      </c>
      <c r="B3" s="209" t="s">
        <v>28</v>
      </c>
      <c r="C3" s="122" t="s">
        <v>973</v>
      </c>
      <c r="D3" s="123">
        <v>0.66</v>
      </c>
      <c r="E3" s="122">
        <v>0.55000000000000004</v>
      </c>
      <c r="F3" s="122">
        <f>E3*D3</f>
        <v>0.36300000000000004</v>
      </c>
      <c r="G3" s="264">
        <f>F3+F4+F5</f>
        <v>0.58080000000000009</v>
      </c>
      <c r="H3" s="283">
        <f>G3</f>
        <v>0.58080000000000009</v>
      </c>
      <c r="I3" s="281" t="s">
        <v>1118</v>
      </c>
      <c r="J3" s="282" t="s">
        <v>1245</v>
      </c>
      <c r="K3" s="68"/>
      <c r="L3" s="73"/>
      <c r="P3" s="39"/>
      <c r="Q3" s="39"/>
      <c r="R3" s="45"/>
      <c r="S3" s="39"/>
      <c r="T3" s="39"/>
      <c r="U3" s="39"/>
      <c r="V3" s="39"/>
      <c r="W3" s="39"/>
      <c r="X3" s="39"/>
      <c r="Y3" s="43"/>
      <c r="Z3" s="43"/>
      <c r="AA3" s="43"/>
    </row>
    <row r="4" spans="1:33" ht="36" x14ac:dyDescent="0.2">
      <c r="A4" s="210"/>
      <c r="B4" s="211"/>
      <c r="C4" s="122" t="s">
        <v>981</v>
      </c>
      <c r="D4" s="123">
        <v>0.46</v>
      </c>
      <c r="E4" s="122">
        <v>0.27</v>
      </c>
      <c r="F4" s="122">
        <f t="shared" ref="F4" si="0">E4*D4</f>
        <v>0.12420000000000002</v>
      </c>
      <c r="G4" s="264"/>
      <c r="H4" s="283"/>
      <c r="I4" s="277"/>
      <c r="J4" s="282"/>
      <c r="K4" s="75"/>
      <c r="L4" s="73"/>
      <c r="P4" s="39"/>
      <c r="Q4" s="39"/>
      <c r="R4" s="45"/>
      <c r="S4" s="39"/>
      <c r="T4" s="39"/>
      <c r="U4" s="46"/>
      <c r="V4" s="39"/>
      <c r="W4" s="39"/>
      <c r="X4" s="39"/>
      <c r="Y4" s="43"/>
      <c r="Z4" s="43"/>
      <c r="AA4" s="43"/>
    </row>
    <row r="5" spans="1:33" ht="36" x14ac:dyDescent="0.2">
      <c r="A5" s="210"/>
      <c r="B5" s="212"/>
      <c r="C5" s="122" t="s">
        <v>1099</v>
      </c>
      <c r="D5" s="123">
        <v>0.52</v>
      </c>
      <c r="E5" s="122">
        <v>0.18</v>
      </c>
      <c r="F5" s="122">
        <f>E5*D5</f>
        <v>9.3600000000000003E-2</v>
      </c>
      <c r="G5" s="264"/>
      <c r="H5" s="283"/>
      <c r="I5" s="277"/>
      <c r="J5" s="282"/>
      <c r="K5" s="68"/>
      <c r="L5" s="73"/>
      <c r="P5" s="39"/>
      <c r="Q5" s="39"/>
      <c r="R5" s="45"/>
      <c r="S5" s="39"/>
      <c r="T5" s="39"/>
      <c r="U5" s="46"/>
      <c r="V5" s="39"/>
      <c r="W5" s="39"/>
      <c r="X5" s="39"/>
      <c r="Y5" s="25"/>
      <c r="Z5" s="43"/>
      <c r="AA5" s="43"/>
    </row>
    <row r="6" spans="1:33" ht="43.15" customHeight="1" x14ac:dyDescent="0.2">
      <c r="A6" s="213" t="s">
        <v>363</v>
      </c>
      <c r="B6" s="214" t="s">
        <v>29</v>
      </c>
      <c r="C6" s="122" t="s">
        <v>1103</v>
      </c>
      <c r="D6" s="123">
        <v>0.72</v>
      </c>
      <c r="E6" s="122">
        <v>0.55000000000000004</v>
      </c>
      <c r="F6" s="122">
        <f>E6*D6</f>
        <v>0.39600000000000002</v>
      </c>
      <c r="G6" s="264">
        <f>F6+F7+F8</f>
        <v>0.67230000000000012</v>
      </c>
      <c r="H6" s="283">
        <f>G6</f>
        <v>0.67230000000000012</v>
      </c>
      <c r="I6" s="284" t="s">
        <v>1105</v>
      </c>
      <c r="J6" s="285" t="s">
        <v>1246</v>
      </c>
      <c r="K6" s="68"/>
      <c r="L6" s="73"/>
      <c r="P6" s="39"/>
      <c r="Q6" s="39"/>
      <c r="R6" s="45"/>
      <c r="S6" s="39"/>
      <c r="T6" s="39"/>
      <c r="U6" s="46"/>
      <c r="V6" s="39"/>
      <c r="W6" s="39"/>
      <c r="X6" s="39"/>
      <c r="Y6" s="25"/>
      <c r="Z6" s="43"/>
      <c r="AA6" s="43"/>
    </row>
    <row r="7" spans="1:33" ht="24" x14ac:dyDescent="0.2">
      <c r="A7" s="215"/>
      <c r="B7" s="216"/>
      <c r="C7" s="122" t="s">
        <v>975</v>
      </c>
      <c r="D7" s="123">
        <v>0.77</v>
      </c>
      <c r="E7" s="122">
        <v>0.27</v>
      </c>
      <c r="F7" s="122">
        <f t="shared" ref="F7:F14" si="1">E7*D7</f>
        <v>0.20790000000000003</v>
      </c>
      <c r="G7" s="264"/>
      <c r="H7" s="283"/>
      <c r="I7" s="284"/>
      <c r="J7" s="285"/>
      <c r="K7" s="68"/>
      <c r="L7" s="73"/>
      <c r="P7" s="39"/>
      <c r="Q7" s="39"/>
      <c r="R7" s="45"/>
      <c r="S7" s="39"/>
      <c r="T7" s="39"/>
      <c r="U7" s="46"/>
      <c r="V7" s="39"/>
      <c r="W7" s="39"/>
      <c r="X7" s="39"/>
      <c r="Y7" s="25"/>
      <c r="Z7" s="43"/>
      <c r="AA7" s="43"/>
    </row>
    <row r="8" spans="1:33" ht="24" x14ac:dyDescent="0.2">
      <c r="A8" s="215"/>
      <c r="B8" s="216"/>
      <c r="C8" s="124" t="s">
        <v>1104</v>
      </c>
      <c r="D8" s="125">
        <v>0.38</v>
      </c>
      <c r="E8" s="124">
        <v>0.18</v>
      </c>
      <c r="F8" s="122">
        <f t="shared" si="1"/>
        <v>6.8400000000000002E-2</v>
      </c>
      <c r="G8" s="264"/>
      <c r="H8" s="283"/>
      <c r="I8" s="284"/>
      <c r="J8" s="285"/>
      <c r="K8" s="68"/>
      <c r="L8" s="73"/>
      <c r="P8" s="39"/>
      <c r="Q8" s="39"/>
      <c r="R8" s="45"/>
      <c r="S8" s="39"/>
      <c r="T8" s="39"/>
      <c r="U8" s="46"/>
      <c r="V8" s="39"/>
      <c r="W8" s="39"/>
      <c r="X8" s="39"/>
    </row>
    <row r="9" spans="1:33" ht="60" x14ac:dyDescent="0.25">
      <c r="A9" s="217" t="s">
        <v>364</v>
      </c>
      <c r="B9" s="213" t="s">
        <v>1078</v>
      </c>
      <c r="C9" s="218" t="s">
        <v>1106</v>
      </c>
      <c r="D9" s="125">
        <v>0.69</v>
      </c>
      <c r="E9" s="124">
        <v>0.67</v>
      </c>
      <c r="F9" s="122">
        <f>E9*D9</f>
        <v>0.46229999999999999</v>
      </c>
      <c r="G9" s="264">
        <f>F9+F10+F11</f>
        <v>0.62070000000000003</v>
      </c>
      <c r="H9" s="265">
        <f>G9</f>
        <v>0.62070000000000003</v>
      </c>
      <c r="I9" s="277" t="s">
        <v>1108</v>
      </c>
      <c r="J9" s="278" t="s">
        <v>1247</v>
      </c>
      <c r="K9" s="68"/>
      <c r="L9" s="68"/>
      <c r="P9" s="39"/>
      <c r="Q9" s="39"/>
      <c r="R9" s="45"/>
      <c r="S9" s="39"/>
      <c r="T9" s="39"/>
      <c r="U9" s="46"/>
      <c r="V9" s="39"/>
      <c r="W9" s="39"/>
      <c r="X9" s="39"/>
    </row>
    <row r="10" spans="1:33" ht="24" x14ac:dyDescent="0.2">
      <c r="A10" s="219"/>
      <c r="B10" s="220"/>
      <c r="C10" s="221" t="s">
        <v>1107</v>
      </c>
      <c r="D10" s="125">
        <v>0.48</v>
      </c>
      <c r="E10" s="124">
        <v>0.33</v>
      </c>
      <c r="F10" s="122">
        <f>E10*D10</f>
        <v>0.15840000000000001</v>
      </c>
      <c r="G10" s="264"/>
      <c r="H10" s="266"/>
      <c r="I10" s="277"/>
      <c r="J10" s="279"/>
      <c r="K10" s="68"/>
      <c r="L10" s="68"/>
      <c r="M10" s="39"/>
      <c r="N10" s="39"/>
      <c r="O10" s="39"/>
      <c r="P10" s="39"/>
      <c r="Q10" s="39"/>
      <c r="R10" s="45"/>
      <c r="S10" s="39"/>
      <c r="T10" s="39"/>
      <c r="U10" s="46"/>
      <c r="V10" s="39"/>
      <c r="W10" s="39"/>
      <c r="X10" s="39"/>
    </row>
    <row r="11" spans="1:33" x14ac:dyDescent="0.2">
      <c r="A11" s="219"/>
      <c r="B11" s="220"/>
      <c r="C11" s="218"/>
      <c r="D11" s="125"/>
      <c r="E11" s="124"/>
      <c r="F11" s="122"/>
      <c r="G11" s="264"/>
      <c r="H11" s="267"/>
      <c r="I11" s="277"/>
      <c r="J11" s="280"/>
      <c r="K11" s="68"/>
      <c r="L11" s="68"/>
      <c r="M11" s="39"/>
      <c r="N11" s="39"/>
      <c r="O11" s="39"/>
      <c r="P11" s="39"/>
      <c r="Q11" s="39"/>
      <c r="R11" s="45"/>
      <c r="S11" s="39"/>
      <c r="T11" s="39"/>
      <c r="U11" s="46"/>
      <c r="V11" s="39"/>
      <c r="W11" s="39"/>
      <c r="X11" s="39"/>
    </row>
    <row r="12" spans="1:33" s="49" customFormat="1" ht="36" x14ac:dyDescent="0.2">
      <c r="A12" s="224" t="s">
        <v>365</v>
      </c>
      <c r="B12" s="213" t="s">
        <v>30</v>
      </c>
      <c r="C12" s="221" t="s">
        <v>1100</v>
      </c>
      <c r="D12" s="123">
        <v>0.7</v>
      </c>
      <c r="E12" s="122">
        <v>0.55000000000000004</v>
      </c>
      <c r="F12" s="122">
        <f t="shared" si="1"/>
        <v>0.38500000000000001</v>
      </c>
      <c r="G12" s="264">
        <f>F12+F13+F14</f>
        <v>0.64779999999999993</v>
      </c>
      <c r="H12" s="265">
        <f>G12</f>
        <v>0.64779999999999993</v>
      </c>
      <c r="I12" s="268" t="s">
        <v>1102</v>
      </c>
      <c r="J12" s="274" t="s">
        <v>1251</v>
      </c>
      <c r="K12" s="69"/>
      <c r="L12" s="69"/>
      <c r="N12" s="50"/>
      <c r="R12" s="51"/>
      <c r="U12" s="52"/>
    </row>
    <row r="13" spans="1:33" s="49" customFormat="1" ht="24" x14ac:dyDescent="0.2">
      <c r="A13" s="225"/>
      <c r="B13" s="223"/>
      <c r="C13" s="218" t="s">
        <v>823</v>
      </c>
      <c r="D13" s="123">
        <v>0.46</v>
      </c>
      <c r="E13" s="122">
        <v>0.27</v>
      </c>
      <c r="F13" s="122">
        <f t="shared" si="1"/>
        <v>0.12420000000000002</v>
      </c>
      <c r="G13" s="264"/>
      <c r="H13" s="266"/>
      <c r="I13" s="269"/>
      <c r="J13" s="275"/>
      <c r="K13" s="69"/>
      <c r="L13" s="69"/>
      <c r="N13" s="50"/>
      <c r="R13" s="51"/>
      <c r="U13" s="52"/>
    </row>
    <row r="14" spans="1:33" s="49" customFormat="1" ht="24" x14ac:dyDescent="0.2">
      <c r="A14" s="222"/>
      <c r="B14" s="223"/>
      <c r="C14" s="218" t="s">
        <v>1101</v>
      </c>
      <c r="D14" s="123">
        <v>0.77</v>
      </c>
      <c r="E14" s="122">
        <v>0.18</v>
      </c>
      <c r="F14" s="122">
        <f t="shared" si="1"/>
        <v>0.1386</v>
      </c>
      <c r="G14" s="264"/>
      <c r="H14" s="267"/>
      <c r="I14" s="270"/>
      <c r="J14" s="276"/>
      <c r="K14" s="69"/>
      <c r="L14" s="69"/>
      <c r="N14" s="50"/>
      <c r="R14" s="51"/>
      <c r="U14" s="52"/>
    </row>
    <row r="15" spans="1:33" s="127" customFormat="1" ht="24" x14ac:dyDescent="0.2">
      <c r="A15" s="224" t="s">
        <v>366</v>
      </c>
      <c r="B15" s="213" t="s">
        <v>31</v>
      </c>
      <c r="C15" s="221" t="s">
        <v>1109</v>
      </c>
      <c r="D15" s="123">
        <v>0.81</v>
      </c>
      <c r="E15" s="122">
        <v>0.67</v>
      </c>
      <c r="F15" s="122">
        <f t="shared" ref="F15:F16" si="2">E15*D15</f>
        <v>0.54270000000000007</v>
      </c>
      <c r="G15" s="264">
        <f>F15+F16+F17</f>
        <v>0.77040000000000008</v>
      </c>
      <c r="H15" s="265">
        <f>G15</f>
        <v>0.77040000000000008</v>
      </c>
      <c r="I15" s="268" t="s">
        <v>1111</v>
      </c>
      <c r="J15" s="271" t="s">
        <v>1250</v>
      </c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</row>
    <row r="16" spans="1:33" s="127" customFormat="1" ht="12" x14ac:dyDescent="0.2">
      <c r="A16" s="225"/>
      <c r="B16" s="226"/>
      <c r="C16" s="218" t="s">
        <v>1110</v>
      </c>
      <c r="D16" s="123">
        <v>0.69</v>
      </c>
      <c r="E16" s="122">
        <v>0.33</v>
      </c>
      <c r="F16" s="122">
        <f t="shared" si="2"/>
        <v>0.22769999999999999</v>
      </c>
      <c r="G16" s="264"/>
      <c r="H16" s="266"/>
      <c r="I16" s="269"/>
      <c r="J16" s="272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</row>
    <row r="17" spans="1:33" s="127" customFormat="1" ht="13.9" customHeight="1" x14ac:dyDescent="0.2">
      <c r="A17" s="225"/>
      <c r="B17" s="226"/>
      <c r="C17" s="218"/>
      <c r="D17" s="123"/>
      <c r="E17" s="122"/>
      <c r="F17" s="122"/>
      <c r="G17" s="264"/>
      <c r="H17" s="267"/>
      <c r="I17" s="270"/>
      <c r="J17" s="273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</row>
    <row r="18" spans="1:33" ht="48" x14ac:dyDescent="0.2">
      <c r="A18" s="227" t="s">
        <v>367</v>
      </c>
      <c r="B18" s="213" t="s">
        <v>32</v>
      </c>
      <c r="C18" s="221" t="s">
        <v>1116</v>
      </c>
      <c r="D18" s="123">
        <v>0.66</v>
      </c>
      <c r="E18" s="122">
        <v>0.55000000000000004</v>
      </c>
      <c r="F18" s="122">
        <f t="shared" ref="F18:F20" si="3">E18*D18</f>
        <v>0.36300000000000004</v>
      </c>
      <c r="G18" s="264">
        <f>F18+F19+F20</f>
        <v>0.58080000000000009</v>
      </c>
      <c r="H18" s="265">
        <f>G18</f>
        <v>0.58080000000000009</v>
      </c>
      <c r="I18" s="268" t="s">
        <v>968</v>
      </c>
      <c r="J18" s="271" t="s">
        <v>1249</v>
      </c>
      <c r="K18" s="68"/>
      <c r="L18" s="68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</row>
    <row r="19" spans="1:33" ht="24" x14ac:dyDescent="0.2">
      <c r="A19" s="228"/>
      <c r="B19" s="226"/>
      <c r="C19" s="218" t="s">
        <v>823</v>
      </c>
      <c r="D19" s="123">
        <v>0.46</v>
      </c>
      <c r="E19" s="122">
        <v>0.27</v>
      </c>
      <c r="F19" s="122">
        <f t="shared" si="3"/>
        <v>0.12420000000000002</v>
      </c>
      <c r="G19" s="264"/>
      <c r="H19" s="266"/>
      <c r="I19" s="269"/>
      <c r="J19" s="272"/>
      <c r="K19" s="68"/>
      <c r="L19" s="68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</row>
    <row r="20" spans="1:33" ht="48" x14ac:dyDescent="0.2">
      <c r="A20" s="228"/>
      <c r="B20" s="226"/>
      <c r="C20" s="218" t="s">
        <v>1117</v>
      </c>
      <c r="D20" s="123">
        <v>0.52</v>
      </c>
      <c r="E20" s="122">
        <v>0.18</v>
      </c>
      <c r="F20" s="122">
        <f t="shared" si="3"/>
        <v>9.3600000000000003E-2</v>
      </c>
      <c r="G20" s="264"/>
      <c r="H20" s="267"/>
      <c r="I20" s="270"/>
      <c r="J20" s="273"/>
      <c r="K20" s="68"/>
      <c r="L20" s="68"/>
      <c r="M20" s="39"/>
      <c r="N20" s="39"/>
      <c r="O20" s="39"/>
      <c r="P20" s="46"/>
      <c r="Q20" s="39"/>
      <c r="R20" s="39"/>
      <c r="S20" s="39"/>
      <c r="T20" s="39"/>
      <c r="U20" s="39"/>
      <c r="V20" s="39"/>
      <c r="W20" s="39"/>
      <c r="X20" s="39"/>
    </row>
    <row r="21" spans="1:33" ht="36" x14ac:dyDescent="0.2">
      <c r="A21" s="227" t="s">
        <v>368</v>
      </c>
      <c r="B21" s="213" t="s">
        <v>33</v>
      </c>
      <c r="C21" s="221" t="s">
        <v>1112</v>
      </c>
      <c r="D21" s="123">
        <v>0.8</v>
      </c>
      <c r="E21" s="122">
        <v>0.55000000000000004</v>
      </c>
      <c r="F21" s="122">
        <f t="shared" ref="F21:F23" si="4">E21*D21</f>
        <v>0.44000000000000006</v>
      </c>
      <c r="G21" s="264">
        <f>F21+F22+F23</f>
        <v>0.74420000000000008</v>
      </c>
      <c r="H21" s="265">
        <f>G21</f>
        <v>0.74420000000000008</v>
      </c>
      <c r="I21" s="268" t="s">
        <v>1115</v>
      </c>
      <c r="J21" s="271" t="s">
        <v>1248</v>
      </c>
      <c r="K21" s="68"/>
      <c r="L21" s="68"/>
      <c r="M21" s="39"/>
      <c r="N21" s="39"/>
      <c r="O21" s="39"/>
      <c r="P21" s="46"/>
      <c r="Q21" s="39"/>
      <c r="R21" s="39"/>
      <c r="S21" s="39"/>
      <c r="T21" s="39"/>
      <c r="U21" s="39"/>
      <c r="V21" s="39"/>
      <c r="W21" s="39"/>
      <c r="X21" s="39"/>
    </row>
    <row r="22" spans="1:33" x14ac:dyDescent="0.2">
      <c r="A22" s="228"/>
      <c r="B22" s="226"/>
      <c r="C22" s="218" t="s">
        <v>1113</v>
      </c>
      <c r="D22" s="123">
        <v>0.72</v>
      </c>
      <c r="E22" s="122">
        <v>0.27</v>
      </c>
      <c r="F22" s="122">
        <f t="shared" si="4"/>
        <v>0.19440000000000002</v>
      </c>
      <c r="G22" s="264"/>
      <c r="H22" s="266"/>
      <c r="I22" s="269"/>
      <c r="J22" s="272"/>
      <c r="K22" s="68"/>
      <c r="L22" s="68"/>
      <c r="M22" s="39"/>
      <c r="N22" s="39"/>
      <c r="O22" s="39"/>
      <c r="P22" s="46"/>
      <c r="Q22" s="39"/>
      <c r="R22" s="39"/>
      <c r="S22" s="39"/>
      <c r="T22" s="39"/>
      <c r="U22" s="39"/>
      <c r="V22" s="39"/>
      <c r="W22" s="39"/>
      <c r="X22" s="39"/>
    </row>
    <row r="23" spans="1:33" x14ac:dyDescent="0.2">
      <c r="A23" s="229"/>
      <c r="B23" s="230"/>
      <c r="C23" s="218" t="s">
        <v>1114</v>
      </c>
      <c r="D23" s="123">
        <v>0.61</v>
      </c>
      <c r="E23" s="122">
        <v>0.18</v>
      </c>
      <c r="F23" s="122">
        <f t="shared" si="4"/>
        <v>0.10979999999999999</v>
      </c>
      <c r="G23" s="264"/>
      <c r="H23" s="267"/>
      <c r="I23" s="270"/>
      <c r="J23" s="273"/>
      <c r="K23" s="68"/>
      <c r="L23" s="68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</row>
    <row r="24" spans="1:33" ht="34.9" customHeight="1" x14ac:dyDescent="0.2">
      <c r="A24" s="90"/>
      <c r="B24" s="72"/>
      <c r="C24" s="113"/>
      <c r="D24" s="116"/>
      <c r="E24" s="113"/>
      <c r="F24" s="113"/>
      <c r="G24" s="112"/>
      <c r="H24" s="128"/>
      <c r="I24" s="72"/>
      <c r="J24" s="56"/>
      <c r="K24" s="68"/>
      <c r="L24" s="68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</row>
    <row r="25" spans="1:33" ht="15" x14ac:dyDescent="0.2">
      <c r="A25" s="90"/>
      <c r="B25" s="72"/>
      <c r="C25" s="60"/>
      <c r="D25" s="115"/>
      <c r="E25" s="60"/>
      <c r="F25" s="113"/>
      <c r="G25" s="112"/>
      <c r="H25" s="128"/>
      <c r="I25" s="72"/>
      <c r="J25" s="56"/>
      <c r="K25" s="68"/>
      <c r="L25" s="68"/>
      <c r="M25" s="39"/>
      <c r="N25" s="39"/>
      <c r="O25" s="39"/>
      <c r="P25" s="39"/>
      <c r="Q25" s="48"/>
      <c r="R25" s="39"/>
      <c r="S25" s="39"/>
      <c r="T25" s="48"/>
      <c r="U25" s="39"/>
      <c r="V25" s="39"/>
      <c r="W25" s="48"/>
      <c r="X25" s="39"/>
    </row>
    <row r="26" spans="1:33" ht="15" x14ac:dyDescent="0.25">
      <c r="A26" s="255"/>
      <c r="B26" s="256"/>
      <c r="C26" s="60"/>
      <c r="D26" s="115"/>
      <c r="E26" s="60"/>
      <c r="F26" s="60"/>
      <c r="G26" s="242"/>
      <c r="H26" s="257"/>
      <c r="I26" s="242"/>
      <c r="J26" s="259"/>
      <c r="K26" s="68"/>
      <c r="L26" s="68"/>
      <c r="M26" s="39"/>
      <c r="N26" s="39"/>
      <c r="O26" s="39"/>
      <c r="P26" s="39"/>
      <c r="Q26" s="48"/>
      <c r="R26" s="39"/>
      <c r="S26" s="39"/>
      <c r="T26" s="48"/>
      <c r="U26" s="39"/>
      <c r="V26" s="39"/>
      <c r="W26" s="48"/>
      <c r="X26" s="39"/>
    </row>
    <row r="27" spans="1:33" ht="15" x14ac:dyDescent="0.25">
      <c r="A27" s="255"/>
      <c r="B27" s="256"/>
      <c r="C27" s="60"/>
      <c r="D27" s="115"/>
      <c r="E27" s="60"/>
      <c r="F27" s="60"/>
      <c r="G27" s="242"/>
      <c r="H27" s="257"/>
      <c r="I27" s="242"/>
      <c r="J27" s="259"/>
      <c r="K27" s="68"/>
      <c r="L27" s="68"/>
      <c r="M27" s="39"/>
      <c r="N27" s="39"/>
      <c r="O27" s="39"/>
      <c r="P27" s="39"/>
      <c r="Q27" s="48"/>
      <c r="R27" s="39"/>
      <c r="S27" s="39"/>
      <c r="T27" s="48"/>
      <c r="U27" s="39"/>
      <c r="V27" s="39"/>
      <c r="W27" s="48"/>
      <c r="X27" s="39"/>
    </row>
    <row r="28" spans="1:33" ht="15" x14ac:dyDescent="0.25">
      <c r="A28" s="260"/>
      <c r="B28" s="261"/>
      <c r="C28" s="113"/>
      <c r="D28" s="116"/>
      <c r="E28" s="113"/>
      <c r="F28" s="113"/>
      <c r="G28" s="258"/>
      <c r="H28" s="262"/>
      <c r="I28" s="263"/>
      <c r="J28" s="244"/>
      <c r="K28" s="68"/>
      <c r="L28" s="68"/>
      <c r="M28" s="39"/>
      <c r="N28" s="39"/>
      <c r="O28" s="39"/>
      <c r="P28" s="39"/>
      <c r="Q28" s="48"/>
      <c r="R28" s="39"/>
      <c r="S28" s="39"/>
      <c r="T28" s="48"/>
      <c r="U28" s="39"/>
      <c r="V28" s="39"/>
      <c r="W28" s="48"/>
      <c r="X28" s="39"/>
    </row>
    <row r="29" spans="1:33" ht="34.9" customHeight="1" x14ac:dyDescent="0.25">
      <c r="A29" s="260"/>
      <c r="B29" s="261"/>
      <c r="C29" s="113"/>
      <c r="D29" s="116"/>
      <c r="E29" s="113"/>
      <c r="F29" s="113"/>
      <c r="G29" s="258"/>
      <c r="H29" s="262"/>
      <c r="I29" s="263"/>
      <c r="J29" s="244"/>
      <c r="K29" s="68"/>
      <c r="L29" s="68"/>
      <c r="M29" s="39"/>
      <c r="N29" s="39"/>
      <c r="O29" s="39"/>
      <c r="P29" s="39"/>
      <c r="Q29" s="48"/>
      <c r="R29" s="39"/>
      <c r="S29" s="39"/>
      <c r="T29" s="48"/>
      <c r="U29" s="39"/>
      <c r="V29" s="39"/>
      <c r="W29" s="48"/>
      <c r="X29" s="39"/>
    </row>
    <row r="30" spans="1:33" s="39" customFormat="1" ht="15" x14ac:dyDescent="0.25">
      <c r="A30" s="260"/>
      <c r="B30" s="261"/>
      <c r="C30" s="60"/>
      <c r="D30" s="115"/>
      <c r="E30" s="60"/>
      <c r="F30" s="60"/>
      <c r="G30" s="60"/>
      <c r="H30" s="60"/>
      <c r="I30" s="60"/>
      <c r="J30" s="244"/>
      <c r="K30" s="68"/>
      <c r="L30" s="68"/>
      <c r="Q30" s="48"/>
      <c r="T30" s="48"/>
      <c r="W30" s="48"/>
    </row>
    <row r="31" spans="1:33" s="39" customFormat="1" ht="15" x14ac:dyDescent="0.25">
      <c r="A31" s="255"/>
      <c r="B31" s="256"/>
      <c r="C31" s="60"/>
      <c r="D31" s="115"/>
      <c r="E31" s="60"/>
      <c r="F31" s="60"/>
      <c r="G31" s="242"/>
      <c r="H31" s="257"/>
      <c r="I31" s="242"/>
      <c r="J31" s="259"/>
      <c r="K31" s="68"/>
      <c r="L31" s="68"/>
      <c r="Q31" s="48"/>
      <c r="T31" s="48"/>
      <c r="W31" s="48"/>
    </row>
    <row r="32" spans="1:33" s="39" customFormat="1" ht="34.9" customHeight="1" x14ac:dyDescent="0.25">
      <c r="A32" s="255"/>
      <c r="B32" s="256"/>
      <c r="C32" s="60"/>
      <c r="D32" s="115"/>
      <c r="E32" s="60"/>
      <c r="F32" s="60"/>
      <c r="G32" s="242"/>
      <c r="H32" s="257"/>
      <c r="I32" s="242"/>
      <c r="J32" s="259"/>
      <c r="K32" s="68"/>
      <c r="L32" s="68"/>
      <c r="Q32" s="48"/>
      <c r="T32" s="48"/>
      <c r="W32" s="48"/>
    </row>
    <row r="33" spans="1:24" ht="15" x14ac:dyDescent="0.25">
      <c r="A33" s="260"/>
      <c r="B33" s="261"/>
      <c r="C33" s="113"/>
      <c r="D33" s="116"/>
      <c r="E33" s="113"/>
      <c r="F33" s="113"/>
      <c r="G33" s="258"/>
      <c r="H33" s="262"/>
      <c r="I33" s="258"/>
      <c r="J33" s="244"/>
      <c r="K33" s="68"/>
      <c r="L33" s="68"/>
      <c r="M33" s="39"/>
      <c r="N33" s="39"/>
      <c r="O33" s="39"/>
      <c r="P33" s="39"/>
      <c r="Q33" s="48"/>
      <c r="R33" s="39"/>
      <c r="S33" s="39"/>
      <c r="T33" s="48"/>
      <c r="U33" s="39"/>
      <c r="V33" s="39"/>
      <c r="W33" s="48"/>
      <c r="X33" s="39"/>
    </row>
    <row r="34" spans="1:24" ht="34.9" customHeight="1" x14ac:dyDescent="0.25">
      <c r="A34" s="260"/>
      <c r="B34" s="261"/>
      <c r="C34" s="113"/>
      <c r="D34" s="116"/>
      <c r="E34" s="113"/>
      <c r="F34" s="113"/>
      <c r="G34" s="258"/>
      <c r="H34" s="262"/>
      <c r="I34" s="258"/>
      <c r="J34" s="244"/>
      <c r="K34" s="68"/>
      <c r="L34" s="68"/>
      <c r="M34" s="39"/>
      <c r="N34" s="39"/>
      <c r="O34" s="39"/>
      <c r="P34" s="39"/>
      <c r="Q34" s="48"/>
      <c r="R34" s="39"/>
      <c r="S34" s="39"/>
      <c r="T34" s="48"/>
      <c r="U34" s="39"/>
      <c r="V34" s="39"/>
      <c r="W34" s="48"/>
      <c r="X34" s="39"/>
    </row>
    <row r="35" spans="1:24" ht="34.9" customHeight="1" x14ac:dyDescent="0.25">
      <c r="A35" s="255"/>
      <c r="B35" s="256"/>
      <c r="C35" s="60"/>
      <c r="D35" s="115"/>
      <c r="E35" s="60"/>
      <c r="F35" s="60"/>
      <c r="G35" s="242"/>
      <c r="H35" s="257"/>
      <c r="I35" s="242"/>
      <c r="J35" s="259"/>
      <c r="K35" s="68"/>
      <c r="L35" s="68"/>
      <c r="M35" s="39"/>
      <c r="N35" s="39"/>
      <c r="O35" s="39"/>
      <c r="P35" s="48"/>
      <c r="Q35" s="48"/>
      <c r="R35" s="39"/>
      <c r="S35" s="39"/>
      <c r="T35" s="48"/>
      <c r="U35" s="39"/>
      <c r="V35" s="39"/>
      <c r="W35" s="48"/>
      <c r="X35" s="39"/>
    </row>
    <row r="36" spans="1:24" ht="34.9" customHeight="1" x14ac:dyDescent="0.25">
      <c r="A36" s="255"/>
      <c r="B36" s="256"/>
      <c r="C36" s="60"/>
      <c r="D36" s="115"/>
      <c r="E36" s="60"/>
      <c r="F36" s="60"/>
      <c r="G36" s="242"/>
      <c r="H36" s="257"/>
      <c r="I36" s="242"/>
      <c r="J36" s="259"/>
      <c r="K36" s="68"/>
      <c r="L36" s="68"/>
      <c r="M36" s="39"/>
      <c r="N36" s="39"/>
      <c r="O36" s="39"/>
      <c r="P36" s="48"/>
      <c r="Q36" s="48"/>
      <c r="R36" s="39"/>
      <c r="S36" s="39"/>
      <c r="T36" s="48"/>
      <c r="U36" s="39"/>
      <c r="V36" s="39"/>
      <c r="W36" s="48"/>
      <c r="X36" s="39"/>
    </row>
    <row r="37" spans="1:24" ht="15" x14ac:dyDescent="0.25">
      <c r="A37" s="260"/>
      <c r="B37" s="261"/>
      <c r="C37" s="113"/>
      <c r="D37" s="116"/>
      <c r="E37" s="113"/>
      <c r="F37" s="113"/>
      <c r="G37" s="258"/>
      <c r="H37" s="262"/>
      <c r="I37" s="242"/>
      <c r="J37" s="244"/>
      <c r="K37" s="68"/>
      <c r="L37" s="68"/>
      <c r="M37" s="39"/>
      <c r="N37" s="39"/>
      <c r="O37" s="39"/>
      <c r="P37" s="39"/>
      <c r="Q37" s="48"/>
      <c r="R37" s="39"/>
      <c r="S37" s="39"/>
      <c r="T37" s="48"/>
      <c r="U37" s="39"/>
      <c r="V37" s="39"/>
      <c r="W37" s="48"/>
      <c r="X37" s="39"/>
    </row>
    <row r="38" spans="1:24" ht="34.9" customHeight="1" x14ac:dyDescent="0.25">
      <c r="A38" s="260"/>
      <c r="B38" s="261"/>
      <c r="C38" s="113"/>
      <c r="D38" s="116"/>
      <c r="E38" s="113"/>
      <c r="F38" s="113"/>
      <c r="G38" s="258"/>
      <c r="H38" s="262"/>
      <c r="I38" s="242"/>
      <c r="J38" s="244"/>
      <c r="K38" s="68"/>
      <c r="L38" s="68"/>
      <c r="M38" s="39"/>
      <c r="N38" s="39"/>
      <c r="O38" s="39"/>
      <c r="P38" s="39"/>
      <c r="Q38" s="48"/>
      <c r="R38" s="39"/>
      <c r="S38" s="39"/>
      <c r="T38" s="48"/>
      <c r="U38" s="39"/>
      <c r="V38" s="39"/>
      <c r="W38" s="48"/>
      <c r="X38" s="39"/>
    </row>
    <row r="39" spans="1:24" ht="34.9" customHeight="1" x14ac:dyDescent="0.25">
      <c r="A39" s="260"/>
      <c r="B39" s="261"/>
      <c r="C39" s="60"/>
      <c r="D39" s="115"/>
      <c r="E39" s="60"/>
      <c r="F39" s="113"/>
      <c r="G39" s="258"/>
      <c r="H39" s="262"/>
      <c r="I39" s="242"/>
      <c r="J39" s="244"/>
      <c r="K39" s="68"/>
      <c r="L39" s="68"/>
      <c r="M39" s="39"/>
      <c r="N39" s="39"/>
      <c r="O39" s="39"/>
      <c r="P39" s="39"/>
      <c r="Q39" s="48"/>
      <c r="R39" s="39"/>
      <c r="S39" s="39"/>
      <c r="T39" s="48"/>
      <c r="U39" s="39"/>
      <c r="V39" s="39"/>
      <c r="W39" s="48"/>
      <c r="X39" s="39"/>
    </row>
    <row r="40" spans="1:24" ht="34.9" customHeight="1" x14ac:dyDescent="0.25">
      <c r="A40" s="255"/>
      <c r="B40" s="256"/>
      <c r="C40" s="60"/>
      <c r="D40" s="115"/>
      <c r="E40" s="60"/>
      <c r="F40" s="60"/>
      <c r="G40" s="242"/>
      <c r="H40" s="257"/>
      <c r="I40" s="258"/>
      <c r="J40" s="259"/>
      <c r="K40" s="68"/>
      <c r="L40" s="68"/>
      <c r="M40" s="39"/>
      <c r="N40" s="39"/>
      <c r="O40" s="39"/>
      <c r="P40" s="39"/>
      <c r="Q40" s="48"/>
      <c r="R40" s="39"/>
      <c r="S40" s="39"/>
      <c r="T40" s="48"/>
      <c r="U40" s="39"/>
      <c r="V40" s="39"/>
      <c r="W40" s="48"/>
      <c r="X40" s="39"/>
    </row>
    <row r="41" spans="1:24" ht="34.9" customHeight="1" x14ac:dyDescent="0.25">
      <c r="A41" s="255"/>
      <c r="B41" s="256"/>
      <c r="C41" s="60"/>
      <c r="D41" s="115"/>
      <c r="E41" s="60"/>
      <c r="F41" s="60"/>
      <c r="G41" s="242"/>
      <c r="H41" s="257"/>
      <c r="I41" s="258"/>
      <c r="J41" s="259"/>
      <c r="K41" s="68"/>
      <c r="L41" s="68"/>
      <c r="M41" s="39"/>
      <c r="N41" s="39"/>
      <c r="O41" s="39"/>
      <c r="P41" s="39"/>
      <c r="Q41" s="48"/>
      <c r="R41" s="39"/>
      <c r="S41" s="39"/>
      <c r="T41" s="48"/>
      <c r="U41" s="39"/>
      <c r="V41" s="39"/>
      <c r="W41" s="48"/>
      <c r="X41" s="39"/>
    </row>
    <row r="42" spans="1:24" ht="15" x14ac:dyDescent="0.25">
      <c r="A42" s="255"/>
      <c r="B42" s="256"/>
      <c r="C42" s="113"/>
      <c r="D42" s="116"/>
      <c r="E42" s="113"/>
      <c r="F42" s="60"/>
      <c r="G42" s="242"/>
      <c r="H42" s="257"/>
      <c r="I42" s="258"/>
      <c r="J42" s="259"/>
      <c r="K42" s="68"/>
      <c r="L42" s="68"/>
      <c r="M42" s="39"/>
      <c r="N42" s="39"/>
      <c r="O42" s="39"/>
      <c r="P42" s="39"/>
      <c r="Q42" s="48"/>
      <c r="R42" s="39"/>
      <c r="S42" s="39"/>
      <c r="T42" s="48"/>
      <c r="U42" s="39"/>
      <c r="V42" s="39"/>
      <c r="W42" s="48"/>
      <c r="X42" s="39"/>
    </row>
    <row r="43" spans="1:24" ht="34.9" customHeight="1" x14ac:dyDescent="0.25">
      <c r="A43" s="260"/>
      <c r="B43" s="261"/>
      <c r="C43" s="113"/>
      <c r="D43" s="116"/>
      <c r="E43" s="113"/>
      <c r="F43" s="113"/>
      <c r="G43" s="258"/>
      <c r="H43" s="262"/>
      <c r="I43" s="242"/>
      <c r="J43" s="244"/>
      <c r="K43" s="68"/>
      <c r="L43" s="68"/>
      <c r="M43" s="39"/>
      <c r="N43" s="39"/>
      <c r="O43" s="39"/>
      <c r="P43" s="39"/>
      <c r="Q43" s="48"/>
      <c r="R43" s="39"/>
      <c r="S43" s="39"/>
      <c r="T43" s="48"/>
      <c r="U43" s="39"/>
      <c r="V43" s="39"/>
      <c r="W43" s="48"/>
      <c r="X43" s="39"/>
    </row>
    <row r="44" spans="1:24" ht="15" x14ac:dyDescent="0.25">
      <c r="A44" s="260"/>
      <c r="B44" s="261"/>
      <c r="C44" s="113"/>
      <c r="D44" s="116"/>
      <c r="E44" s="113"/>
      <c r="F44" s="113"/>
      <c r="G44" s="258"/>
      <c r="H44" s="262"/>
      <c r="I44" s="242"/>
      <c r="J44" s="244"/>
      <c r="K44" s="68"/>
      <c r="L44" s="68"/>
      <c r="M44" s="39"/>
      <c r="N44" s="39"/>
      <c r="O44" s="39"/>
      <c r="P44" s="39"/>
      <c r="Q44" s="48"/>
      <c r="R44" s="39"/>
      <c r="S44" s="39"/>
      <c r="T44" s="48"/>
      <c r="U44" s="39"/>
      <c r="V44" s="39"/>
      <c r="W44" s="48"/>
      <c r="X44" s="39"/>
    </row>
    <row r="45" spans="1:24" ht="34.9" customHeight="1" x14ac:dyDescent="0.25">
      <c r="A45" s="260"/>
      <c r="B45" s="261"/>
      <c r="C45" s="60"/>
      <c r="D45" s="115"/>
      <c r="E45" s="60"/>
      <c r="F45" s="60"/>
      <c r="G45" s="258"/>
      <c r="H45" s="262"/>
      <c r="I45" s="242"/>
      <c r="J45" s="244"/>
      <c r="K45" s="68"/>
      <c r="L45" s="68"/>
      <c r="M45" s="39"/>
      <c r="N45" s="39"/>
      <c r="O45" s="39"/>
      <c r="P45" s="39"/>
      <c r="Q45" s="48"/>
      <c r="R45" s="39"/>
      <c r="S45" s="39"/>
      <c r="T45" s="48"/>
      <c r="U45" s="39"/>
      <c r="V45" s="39"/>
      <c r="W45" s="48"/>
      <c r="X45" s="39"/>
    </row>
    <row r="46" spans="1:24" ht="15" x14ac:dyDescent="0.2">
      <c r="A46" s="129"/>
      <c r="B46" s="112"/>
      <c r="C46" s="60"/>
      <c r="D46" s="115"/>
      <c r="E46" s="60"/>
      <c r="F46" s="60"/>
      <c r="G46" s="115"/>
      <c r="H46" s="115"/>
      <c r="I46" s="60"/>
      <c r="J46" s="114"/>
      <c r="K46" s="68"/>
      <c r="L46" s="68"/>
      <c r="M46" s="39"/>
      <c r="N46" s="39"/>
      <c r="O46" s="39"/>
      <c r="P46" s="39"/>
      <c r="Q46" s="48"/>
      <c r="R46" s="39"/>
      <c r="S46" s="39"/>
      <c r="T46" s="48"/>
      <c r="U46" s="39"/>
      <c r="V46" s="39"/>
      <c r="W46" s="48"/>
      <c r="X46" s="39"/>
    </row>
    <row r="47" spans="1:24" ht="15" x14ac:dyDescent="0.25">
      <c r="A47" s="260"/>
      <c r="B47" s="261"/>
      <c r="C47" s="113"/>
      <c r="D47" s="116"/>
      <c r="E47" s="113"/>
      <c r="F47" s="60"/>
      <c r="G47" s="258"/>
      <c r="H47" s="262"/>
      <c r="I47" s="258"/>
      <c r="J47" s="244"/>
      <c r="P47" s="39"/>
      <c r="Q47" s="48"/>
      <c r="R47" s="39"/>
      <c r="S47" s="39"/>
      <c r="T47" s="48"/>
      <c r="U47" s="39"/>
      <c r="V47" s="39"/>
      <c r="W47" s="48"/>
      <c r="X47" s="39"/>
    </row>
    <row r="48" spans="1:24" ht="15" x14ac:dyDescent="0.25">
      <c r="A48" s="260"/>
      <c r="B48" s="261"/>
      <c r="C48" s="113"/>
      <c r="D48" s="116"/>
      <c r="E48" s="113"/>
      <c r="F48" s="60"/>
      <c r="G48" s="258"/>
      <c r="H48" s="262"/>
      <c r="I48" s="258"/>
      <c r="J48" s="244"/>
      <c r="P48" s="39"/>
      <c r="Q48" s="48"/>
      <c r="R48" s="39"/>
      <c r="S48" s="39"/>
      <c r="T48" s="48"/>
      <c r="U48" s="39"/>
      <c r="V48" s="39"/>
      <c r="W48" s="48"/>
      <c r="X48" s="39"/>
    </row>
    <row r="49" spans="1:23" ht="24.6" customHeight="1" x14ac:dyDescent="0.25">
      <c r="A49" s="255"/>
      <c r="B49" s="256"/>
      <c r="C49" s="60"/>
      <c r="D49" s="115"/>
      <c r="E49" s="60"/>
      <c r="F49" s="60"/>
      <c r="G49" s="242"/>
      <c r="H49" s="257"/>
      <c r="I49" s="258"/>
      <c r="J49" s="259"/>
      <c r="Q49" s="44"/>
      <c r="T49" s="44"/>
      <c r="W49" s="44"/>
    </row>
    <row r="50" spans="1:23" ht="15" x14ac:dyDescent="0.25">
      <c r="A50" s="255"/>
      <c r="B50" s="256"/>
      <c r="C50" s="60"/>
      <c r="D50" s="115"/>
      <c r="E50" s="60"/>
      <c r="F50" s="60"/>
      <c r="G50" s="242"/>
      <c r="H50" s="257"/>
      <c r="I50" s="258"/>
      <c r="J50" s="259"/>
      <c r="Q50" s="44"/>
      <c r="T50" s="44"/>
      <c r="W50" s="44"/>
    </row>
    <row r="51" spans="1:23" x14ac:dyDescent="0.25">
      <c r="A51" s="255"/>
      <c r="B51" s="256"/>
      <c r="C51" s="113"/>
      <c r="D51" s="116"/>
      <c r="E51" s="113"/>
      <c r="F51" s="60"/>
      <c r="G51" s="242"/>
      <c r="H51" s="257"/>
      <c r="I51" s="258"/>
      <c r="J51" s="259"/>
    </row>
    <row r="52" spans="1:23" ht="24.6" customHeight="1" x14ac:dyDescent="0.25">
      <c r="A52" s="260"/>
      <c r="B52" s="261"/>
      <c r="C52" s="113"/>
      <c r="D52" s="116"/>
      <c r="E52" s="113"/>
      <c r="F52" s="113"/>
      <c r="G52" s="258"/>
      <c r="H52" s="262"/>
      <c r="I52" s="242"/>
      <c r="J52" s="244"/>
    </row>
    <row r="53" spans="1:23" ht="15" customHeight="1" x14ac:dyDescent="0.25">
      <c r="A53" s="260"/>
      <c r="B53" s="261"/>
      <c r="C53" s="113"/>
      <c r="D53" s="116"/>
      <c r="E53" s="113"/>
      <c r="F53" s="113"/>
      <c r="G53" s="258"/>
      <c r="H53" s="262"/>
      <c r="I53" s="242"/>
      <c r="J53" s="244"/>
    </row>
    <row r="54" spans="1:23" ht="15" customHeight="1" x14ac:dyDescent="0.25">
      <c r="A54" s="260"/>
      <c r="B54" s="261"/>
      <c r="C54" s="60"/>
      <c r="D54" s="115"/>
      <c r="E54" s="60"/>
      <c r="F54" s="113"/>
      <c r="G54" s="258"/>
      <c r="H54" s="262"/>
      <c r="I54" s="242"/>
      <c r="J54" s="244"/>
    </row>
    <row r="55" spans="1:23" x14ac:dyDescent="0.2">
      <c r="A55" s="129"/>
      <c r="B55" s="112"/>
      <c r="C55" s="60"/>
      <c r="D55" s="115"/>
      <c r="E55" s="60"/>
      <c r="F55" s="60"/>
      <c r="G55" s="60"/>
      <c r="H55" s="115"/>
      <c r="I55" s="60"/>
      <c r="J55" s="114"/>
    </row>
    <row r="60" spans="1:23" x14ac:dyDescent="0.2">
      <c r="B60" s="72"/>
      <c r="C60" s="55"/>
      <c r="D60" s="55"/>
      <c r="E60" s="55"/>
      <c r="F60" s="55"/>
      <c r="G60" s="55"/>
      <c r="H60" s="55"/>
      <c r="I60" s="55"/>
      <c r="J60" s="56"/>
    </row>
    <row r="61" spans="1:23" x14ac:dyDescent="0.2">
      <c r="B61" s="72"/>
      <c r="C61" s="55"/>
      <c r="D61" s="55"/>
      <c r="E61" s="55"/>
      <c r="F61" s="55"/>
      <c r="G61" s="55"/>
      <c r="H61" s="55"/>
      <c r="I61" s="55"/>
      <c r="J61" s="56"/>
    </row>
    <row r="62" spans="1:23" x14ac:dyDescent="0.2">
      <c r="A62" s="129"/>
      <c r="B62" s="112"/>
      <c r="C62" s="113"/>
      <c r="D62" s="113"/>
      <c r="E62" s="113"/>
      <c r="F62" s="113"/>
      <c r="G62" s="113"/>
      <c r="H62" s="113"/>
      <c r="I62" s="113"/>
      <c r="J62" s="114"/>
    </row>
    <row r="63" spans="1:23" ht="37.9" customHeight="1" x14ac:dyDescent="0.2">
      <c r="A63" s="129"/>
      <c r="B63" s="112"/>
      <c r="C63" s="113"/>
      <c r="D63" s="113"/>
      <c r="E63" s="113"/>
      <c r="F63" s="113"/>
      <c r="G63" s="113"/>
      <c r="H63" s="113"/>
      <c r="I63" s="113"/>
      <c r="J63" s="114"/>
    </row>
    <row r="64" spans="1:23" x14ac:dyDescent="0.2">
      <c r="A64" s="129"/>
      <c r="B64" s="112"/>
      <c r="C64" s="113"/>
      <c r="D64" s="113"/>
      <c r="E64" s="113"/>
      <c r="F64" s="113"/>
      <c r="G64" s="113"/>
      <c r="H64" s="113"/>
      <c r="I64" s="113"/>
      <c r="J64" s="114"/>
    </row>
    <row r="65" spans="1:10" x14ac:dyDescent="0.2">
      <c r="B65" s="72"/>
      <c r="C65" s="60"/>
      <c r="D65" s="60"/>
      <c r="E65" s="60"/>
      <c r="F65" s="60"/>
      <c r="G65" s="60"/>
      <c r="H65" s="60"/>
      <c r="I65" s="60"/>
      <c r="J65" s="56"/>
    </row>
    <row r="66" spans="1:10" x14ac:dyDescent="0.2">
      <c r="A66" s="129"/>
      <c r="B66" s="112"/>
      <c r="C66" s="113"/>
      <c r="D66" s="113"/>
      <c r="E66" s="113"/>
      <c r="F66" s="113"/>
      <c r="G66" s="113"/>
      <c r="H66" s="113"/>
      <c r="I66" s="113"/>
      <c r="J66" s="114"/>
    </row>
    <row r="67" spans="1:10" x14ac:dyDescent="0.2">
      <c r="B67" s="72"/>
      <c r="C67" s="60"/>
      <c r="D67" s="60"/>
      <c r="E67" s="60"/>
      <c r="F67" s="60"/>
      <c r="G67" s="60"/>
      <c r="H67" s="60"/>
      <c r="I67" s="60"/>
      <c r="J67" s="56"/>
    </row>
    <row r="68" spans="1:10" x14ac:dyDescent="0.2">
      <c r="A68" s="129"/>
      <c r="B68" s="112"/>
      <c r="C68" s="113"/>
      <c r="D68" s="113"/>
      <c r="E68" s="113"/>
      <c r="F68" s="113"/>
      <c r="G68" s="113"/>
      <c r="H68" s="113"/>
      <c r="I68" s="113"/>
      <c r="J68" s="114"/>
    </row>
    <row r="69" spans="1:10" x14ac:dyDescent="0.2">
      <c r="B69" s="72"/>
      <c r="C69" s="60"/>
      <c r="D69" s="60"/>
      <c r="E69" s="60"/>
      <c r="F69" s="60"/>
      <c r="G69" s="60"/>
      <c r="H69" s="60"/>
      <c r="I69" s="60"/>
      <c r="J69" s="56"/>
    </row>
    <row r="70" spans="1:10" x14ac:dyDescent="0.2">
      <c r="A70" s="129"/>
      <c r="B70" s="112"/>
      <c r="C70" s="113"/>
      <c r="D70" s="113"/>
      <c r="E70" s="113"/>
      <c r="F70" s="113"/>
      <c r="G70" s="113"/>
      <c r="H70" s="113"/>
      <c r="I70" s="113"/>
      <c r="J70" s="114"/>
    </row>
    <row r="71" spans="1:10" x14ac:dyDescent="0.2">
      <c r="B71" s="72"/>
      <c r="C71" s="60"/>
      <c r="D71" s="60"/>
      <c r="E71" s="60"/>
      <c r="F71" s="60"/>
      <c r="G71" s="60"/>
      <c r="H71" s="60"/>
      <c r="I71" s="60"/>
      <c r="J71" s="56"/>
    </row>
    <row r="72" spans="1:10" x14ac:dyDescent="0.2">
      <c r="A72" s="129"/>
      <c r="B72" s="112"/>
      <c r="C72" s="113"/>
      <c r="D72" s="113"/>
      <c r="E72" s="113"/>
      <c r="F72" s="113"/>
      <c r="G72" s="113"/>
      <c r="H72" s="113"/>
      <c r="I72" s="113"/>
      <c r="J72" s="114"/>
    </row>
    <row r="73" spans="1:10" x14ac:dyDescent="0.2">
      <c r="B73" s="72"/>
      <c r="C73" s="60"/>
      <c r="D73" s="60"/>
      <c r="E73" s="60"/>
      <c r="F73" s="60"/>
      <c r="G73" s="60"/>
      <c r="H73" s="60"/>
      <c r="I73" s="60"/>
      <c r="J73" s="56"/>
    </row>
    <row r="74" spans="1:10" x14ac:dyDescent="0.2">
      <c r="A74" s="129"/>
      <c r="B74" s="112"/>
      <c r="C74" s="113"/>
      <c r="D74" s="113"/>
      <c r="E74" s="113"/>
      <c r="F74" s="113"/>
      <c r="G74" s="113"/>
      <c r="H74" s="113"/>
      <c r="I74" s="113"/>
      <c r="J74" s="114"/>
    </row>
    <row r="75" spans="1:10" x14ac:dyDescent="0.2">
      <c r="B75" s="72"/>
      <c r="C75" s="60"/>
      <c r="D75" s="60"/>
      <c r="E75" s="60"/>
      <c r="F75" s="60"/>
      <c r="G75" s="60"/>
      <c r="H75" s="60"/>
      <c r="I75" s="60"/>
      <c r="J75" s="56"/>
    </row>
    <row r="76" spans="1:10" x14ac:dyDescent="0.2">
      <c r="A76" s="129"/>
      <c r="B76" s="112"/>
      <c r="C76" s="113"/>
      <c r="D76" s="113"/>
      <c r="E76" s="113"/>
      <c r="F76" s="113"/>
      <c r="G76" s="113"/>
      <c r="H76" s="113"/>
      <c r="I76" s="113"/>
      <c r="J76" s="114"/>
    </row>
    <row r="77" spans="1:10" x14ac:dyDescent="0.2">
      <c r="B77" s="72"/>
      <c r="C77" s="60"/>
      <c r="D77" s="60"/>
      <c r="E77" s="60"/>
      <c r="F77" s="60"/>
      <c r="G77" s="60"/>
      <c r="H77" s="60"/>
      <c r="I77" s="60"/>
      <c r="J77" s="56"/>
    </row>
    <row r="78" spans="1:10" x14ac:dyDescent="0.2">
      <c r="A78" s="130"/>
      <c r="B78" s="83"/>
      <c r="C78" s="58"/>
      <c r="D78" s="58"/>
      <c r="E78" s="58"/>
      <c r="F78" s="58"/>
      <c r="G78" s="58"/>
      <c r="H78" s="58"/>
      <c r="I78" s="58"/>
      <c r="J78" s="59"/>
    </row>
    <row r="79" spans="1:10" x14ac:dyDescent="0.2">
      <c r="B79" s="72"/>
      <c r="C79" s="60"/>
      <c r="D79" s="60"/>
      <c r="E79" s="60"/>
      <c r="F79" s="60"/>
      <c r="G79" s="60"/>
      <c r="H79" s="60"/>
      <c r="I79" s="60"/>
      <c r="J79" s="56"/>
    </row>
    <row r="80" spans="1:10" x14ac:dyDescent="0.2">
      <c r="A80" s="130"/>
      <c r="B80" s="83"/>
      <c r="C80" s="58"/>
      <c r="D80" s="58"/>
      <c r="E80" s="58"/>
      <c r="F80" s="58"/>
      <c r="G80" s="58"/>
      <c r="H80" s="58"/>
      <c r="I80" s="58"/>
      <c r="J80" s="59"/>
    </row>
    <row r="81" spans="1:10" x14ac:dyDescent="0.2">
      <c r="B81" s="72"/>
      <c r="C81" s="60"/>
      <c r="D81" s="60"/>
      <c r="E81" s="60"/>
      <c r="F81" s="60"/>
      <c r="G81" s="60"/>
      <c r="H81" s="60"/>
      <c r="I81" s="60"/>
      <c r="J81" s="56"/>
    </row>
    <row r="82" spans="1:10" x14ac:dyDescent="0.2">
      <c r="A82" s="130"/>
      <c r="B82" s="83"/>
      <c r="C82" s="58"/>
      <c r="D82" s="58"/>
      <c r="E82" s="58"/>
      <c r="F82" s="58"/>
      <c r="G82" s="58"/>
      <c r="H82" s="58"/>
      <c r="I82" s="58"/>
      <c r="J82" s="59"/>
    </row>
    <row r="83" spans="1:10" x14ac:dyDescent="0.2">
      <c r="B83" s="72"/>
      <c r="C83" s="60"/>
      <c r="D83" s="60"/>
      <c r="E83" s="60"/>
      <c r="F83" s="60"/>
      <c r="G83" s="60"/>
      <c r="H83" s="60"/>
      <c r="I83" s="60"/>
      <c r="J83" s="56"/>
    </row>
    <row r="84" spans="1:10" x14ac:dyDescent="0.2">
      <c r="A84" s="130"/>
      <c r="B84" s="83"/>
      <c r="C84" s="58"/>
      <c r="D84" s="58"/>
      <c r="E84" s="58"/>
      <c r="F84" s="58"/>
      <c r="G84" s="58"/>
      <c r="H84" s="58"/>
      <c r="I84" s="58"/>
      <c r="J84" s="59"/>
    </row>
  </sheetData>
  <mergeCells count="97">
    <mergeCell ref="E1:G1"/>
    <mergeCell ref="A2:B2"/>
    <mergeCell ref="E2:G2"/>
    <mergeCell ref="G3:G5"/>
    <mergeCell ref="H3:H5"/>
    <mergeCell ref="I3:I5"/>
    <mergeCell ref="J3:J5"/>
    <mergeCell ref="G6:G8"/>
    <mergeCell ref="H6:H8"/>
    <mergeCell ref="I6:I8"/>
    <mergeCell ref="J6:J8"/>
    <mergeCell ref="G12:G14"/>
    <mergeCell ref="H12:H14"/>
    <mergeCell ref="I12:I14"/>
    <mergeCell ref="J12:J14"/>
    <mergeCell ref="G9:G11"/>
    <mergeCell ref="H9:H11"/>
    <mergeCell ref="I9:I11"/>
    <mergeCell ref="J9:J11"/>
    <mergeCell ref="G18:G20"/>
    <mergeCell ref="H18:H20"/>
    <mergeCell ref="I18:I20"/>
    <mergeCell ref="J18:J20"/>
    <mergeCell ref="G15:G17"/>
    <mergeCell ref="H15:H17"/>
    <mergeCell ref="I15:I17"/>
    <mergeCell ref="J15:J17"/>
    <mergeCell ref="J26:J27"/>
    <mergeCell ref="G21:G23"/>
    <mergeCell ref="H21:H23"/>
    <mergeCell ref="I21:I23"/>
    <mergeCell ref="J21:J23"/>
    <mergeCell ref="A26:A27"/>
    <mergeCell ref="B26:B27"/>
    <mergeCell ref="G26:G27"/>
    <mergeCell ref="H26:H27"/>
    <mergeCell ref="I26:I27"/>
    <mergeCell ref="J31:J32"/>
    <mergeCell ref="A28:A30"/>
    <mergeCell ref="B28:B30"/>
    <mergeCell ref="G28:G29"/>
    <mergeCell ref="H28:H29"/>
    <mergeCell ref="I28:I29"/>
    <mergeCell ref="J28:J30"/>
    <mergeCell ref="A31:A32"/>
    <mergeCell ref="B31:B32"/>
    <mergeCell ref="G31:G32"/>
    <mergeCell ref="H31:H32"/>
    <mergeCell ref="I31:I32"/>
    <mergeCell ref="J35:J36"/>
    <mergeCell ref="A33:A34"/>
    <mergeCell ref="B33:B34"/>
    <mergeCell ref="G33:G34"/>
    <mergeCell ref="H33:H34"/>
    <mergeCell ref="I33:I34"/>
    <mergeCell ref="J33:J34"/>
    <mergeCell ref="A35:A36"/>
    <mergeCell ref="B35:B36"/>
    <mergeCell ref="G35:G36"/>
    <mergeCell ref="H35:H36"/>
    <mergeCell ref="I35:I36"/>
    <mergeCell ref="J40:J42"/>
    <mergeCell ref="A37:A39"/>
    <mergeCell ref="B37:B39"/>
    <mergeCell ref="G37:G39"/>
    <mergeCell ref="H37:H39"/>
    <mergeCell ref="I37:I39"/>
    <mergeCell ref="J37:J39"/>
    <mergeCell ref="A40:A42"/>
    <mergeCell ref="B40:B42"/>
    <mergeCell ref="G40:G42"/>
    <mergeCell ref="H40:H42"/>
    <mergeCell ref="I40:I42"/>
    <mergeCell ref="J47:J48"/>
    <mergeCell ref="A43:A45"/>
    <mergeCell ref="B43:B45"/>
    <mergeCell ref="G43:G45"/>
    <mergeCell ref="H43:H45"/>
    <mergeCell ref="I43:I45"/>
    <mergeCell ref="J43:J45"/>
    <mergeCell ref="A47:A48"/>
    <mergeCell ref="B47:B48"/>
    <mergeCell ref="G47:G48"/>
    <mergeCell ref="H47:H48"/>
    <mergeCell ref="I47:I48"/>
    <mergeCell ref="J52:J54"/>
    <mergeCell ref="A49:A51"/>
    <mergeCell ref="B49:B51"/>
    <mergeCell ref="G49:G51"/>
    <mergeCell ref="H49:H51"/>
    <mergeCell ref="I49:I51"/>
    <mergeCell ref="J49:J51"/>
    <mergeCell ref="A52:A54"/>
    <mergeCell ref="B52:B54"/>
    <mergeCell ref="G52:G54"/>
    <mergeCell ref="H52:H54"/>
    <mergeCell ref="I52:I54"/>
  </mergeCells>
  <pageMargins left="0.7" right="0.7" top="0.75" bottom="0.75" header="0.3" footer="0.3"/>
  <pageSetup paperSize="9" scale="1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09A3A-A6FC-40F5-BCA1-481D16308FB9}">
  <dimension ref="A1:AA84"/>
  <sheetViews>
    <sheetView view="pageBreakPreview" zoomScaleNormal="70" zoomScaleSheetLayoutView="100" workbookViewId="0">
      <pane ySplit="1" topLeftCell="A2" activePane="bottomLeft" state="frozen"/>
      <selection pane="bottomLeft" activeCell="J12" sqref="J12:J14"/>
    </sheetView>
  </sheetViews>
  <sheetFormatPr defaultColWidth="9.140625" defaultRowHeight="14.25" x14ac:dyDescent="0.2"/>
  <cols>
    <col min="1" max="1" width="11" style="53" customWidth="1"/>
    <col min="2" max="2" width="18.28515625" style="14" customWidth="1"/>
    <col min="3" max="3" width="23.42578125" style="1" customWidth="1"/>
    <col min="4" max="4" width="15.140625" style="1" customWidth="1"/>
    <col min="5" max="5" width="10.42578125" style="1" customWidth="1"/>
    <col min="6" max="7" width="5.7109375" style="1" customWidth="1"/>
    <col min="8" max="8" width="11.28515625" style="1" customWidth="1"/>
    <col min="9" max="9" width="16.7109375" style="1" customWidth="1"/>
    <col min="10" max="10" width="52.85546875" style="14" customWidth="1"/>
    <col min="11" max="11" width="43.5703125" style="71" customWidth="1"/>
    <col min="12" max="12" width="13.28515625" style="71" customWidth="1"/>
    <col min="13" max="13" width="16.28515625" style="1" customWidth="1"/>
    <col min="14" max="14" width="12.140625" style="1" customWidth="1"/>
    <col min="15" max="15" width="13.85546875" style="1" customWidth="1"/>
    <col min="16" max="16" width="18.140625" style="1" customWidth="1"/>
    <col min="17" max="17" width="23.28515625" style="1" customWidth="1"/>
    <col min="18" max="18" width="17.5703125" style="1" customWidth="1"/>
    <col min="19" max="19" width="21.140625" style="1" customWidth="1"/>
    <col min="20" max="20" width="27" style="1" customWidth="1"/>
    <col min="21" max="21" width="10.7109375" style="1" customWidth="1"/>
    <col min="22" max="22" width="12.7109375" style="1" customWidth="1"/>
    <col min="23" max="23" width="36" style="1" customWidth="1"/>
    <col min="24" max="24" width="20.28515625" style="1" customWidth="1"/>
    <col min="25" max="26" width="9.140625" style="1" customWidth="1"/>
    <col min="27" max="27" width="9.140625" style="1"/>
    <col min="28" max="28" width="9.140625" style="1" customWidth="1"/>
    <col min="29" max="16384" width="9.140625" style="1"/>
  </cols>
  <sheetData>
    <row r="1" spans="1:27" s="148" customFormat="1" ht="78.75" x14ac:dyDescent="0.25">
      <c r="A1" s="169" t="s">
        <v>817</v>
      </c>
      <c r="B1" s="170" t="s">
        <v>818</v>
      </c>
      <c r="C1" s="164" t="s">
        <v>819</v>
      </c>
      <c r="D1" s="164" t="s">
        <v>849</v>
      </c>
      <c r="E1" s="286" t="s">
        <v>820</v>
      </c>
      <c r="F1" s="287"/>
      <c r="G1" s="288"/>
      <c r="H1" s="165" t="s">
        <v>10</v>
      </c>
      <c r="I1" s="164" t="s">
        <v>821</v>
      </c>
      <c r="J1" s="166" t="s">
        <v>822</v>
      </c>
      <c r="K1" s="167" t="s">
        <v>1167</v>
      </c>
      <c r="L1" s="168" t="s">
        <v>860</v>
      </c>
      <c r="P1" s="156"/>
      <c r="Q1" s="156"/>
      <c r="R1" s="156"/>
      <c r="S1" s="156"/>
      <c r="T1" s="156"/>
      <c r="U1" s="156"/>
      <c r="V1" s="156"/>
      <c r="W1" s="156"/>
      <c r="X1" s="156"/>
      <c r="Y1" s="157"/>
      <c r="Z1" s="157"/>
      <c r="AA1" s="157"/>
    </row>
    <row r="2" spans="1:27" ht="16.149999999999999" customHeight="1" x14ac:dyDescent="0.2">
      <c r="A2" s="289" t="s">
        <v>972</v>
      </c>
      <c r="B2" s="289"/>
      <c r="C2" s="120"/>
      <c r="D2" s="104" t="s">
        <v>885</v>
      </c>
      <c r="E2" s="290"/>
      <c r="F2" s="290"/>
      <c r="G2" s="290"/>
      <c r="H2" s="120"/>
      <c r="I2" s="120"/>
      <c r="J2" s="121"/>
      <c r="K2" s="68"/>
      <c r="L2" s="73"/>
      <c r="P2" s="39"/>
      <c r="Q2" s="39"/>
      <c r="R2" s="45"/>
      <c r="S2" s="39"/>
      <c r="T2" s="39"/>
      <c r="U2" s="39"/>
      <c r="V2" s="39"/>
      <c r="W2" s="39"/>
      <c r="X2" s="39"/>
      <c r="Y2" s="43"/>
      <c r="Z2" s="43"/>
      <c r="AA2" s="43"/>
    </row>
    <row r="3" spans="1:27" ht="24" x14ac:dyDescent="0.2">
      <c r="A3" s="302" t="s">
        <v>93</v>
      </c>
      <c r="B3" s="303" t="s">
        <v>962</v>
      </c>
      <c r="C3" s="122" t="s">
        <v>973</v>
      </c>
      <c r="D3" s="123">
        <v>0.66</v>
      </c>
      <c r="E3" s="122">
        <v>0.55000000000000004</v>
      </c>
      <c r="F3" s="122">
        <f>E3*D3</f>
        <v>0.36300000000000004</v>
      </c>
      <c r="G3" s="264">
        <f>F3+F4+F5</f>
        <v>0.58620000000000005</v>
      </c>
      <c r="H3" s="283">
        <f>G3</f>
        <v>0.58620000000000005</v>
      </c>
      <c r="I3" s="277" t="s">
        <v>971</v>
      </c>
      <c r="J3" s="293" t="s">
        <v>1241</v>
      </c>
      <c r="K3" s="68"/>
      <c r="L3" s="73"/>
      <c r="P3" s="39"/>
      <c r="Q3" s="39"/>
      <c r="R3" s="45"/>
      <c r="S3" s="39"/>
      <c r="T3" s="39"/>
      <c r="U3" s="39"/>
      <c r="V3" s="39"/>
      <c r="W3" s="39"/>
      <c r="X3" s="39"/>
      <c r="Y3" s="43"/>
      <c r="Z3" s="43"/>
      <c r="AA3" s="43"/>
    </row>
    <row r="4" spans="1:27" x14ac:dyDescent="0.2">
      <c r="A4" s="302"/>
      <c r="B4" s="303"/>
      <c r="C4" s="122" t="s">
        <v>963</v>
      </c>
      <c r="D4" s="123">
        <v>0.52</v>
      </c>
      <c r="E4" s="122">
        <v>0.27</v>
      </c>
      <c r="F4" s="122">
        <f t="shared" ref="F4" si="0">E4*D4</f>
        <v>0.14040000000000002</v>
      </c>
      <c r="G4" s="264"/>
      <c r="H4" s="283"/>
      <c r="I4" s="277"/>
      <c r="J4" s="293"/>
      <c r="K4" s="75"/>
      <c r="L4" s="73"/>
      <c r="P4" s="39"/>
      <c r="Q4" s="39"/>
      <c r="R4" s="45"/>
      <c r="S4" s="39"/>
      <c r="T4" s="39"/>
      <c r="U4" s="46"/>
      <c r="V4" s="39"/>
      <c r="W4" s="39"/>
      <c r="X4" s="39"/>
      <c r="Y4" s="43"/>
      <c r="Z4" s="43"/>
      <c r="AA4" s="43"/>
    </row>
    <row r="5" spans="1:27" ht="36" x14ac:dyDescent="0.2">
      <c r="A5" s="302"/>
      <c r="B5" s="303"/>
      <c r="C5" s="122" t="s">
        <v>981</v>
      </c>
      <c r="D5" s="123">
        <v>0.46</v>
      </c>
      <c r="E5" s="122">
        <v>0.18</v>
      </c>
      <c r="F5" s="122">
        <f>E5*D5</f>
        <v>8.2799999999999999E-2</v>
      </c>
      <c r="G5" s="264"/>
      <c r="H5" s="283"/>
      <c r="I5" s="277"/>
      <c r="J5" s="293"/>
      <c r="K5" s="68"/>
      <c r="L5" s="73"/>
      <c r="P5" s="39"/>
      <c r="Q5" s="39"/>
      <c r="R5" s="45"/>
      <c r="S5" s="39"/>
      <c r="T5" s="39"/>
      <c r="U5" s="46"/>
      <c r="V5" s="39"/>
      <c r="W5" s="39"/>
      <c r="X5" s="39"/>
      <c r="Y5" s="25"/>
      <c r="Z5" s="43"/>
      <c r="AA5" s="43"/>
    </row>
    <row r="6" spans="1:27" x14ac:dyDescent="0.2">
      <c r="A6" s="294" t="s">
        <v>97</v>
      </c>
      <c r="B6" s="295" t="s">
        <v>964</v>
      </c>
      <c r="C6" s="122" t="s">
        <v>974</v>
      </c>
      <c r="D6" s="123">
        <v>0.61</v>
      </c>
      <c r="E6" s="122">
        <v>0.55000000000000004</v>
      </c>
      <c r="F6" s="122">
        <f>E6*D6</f>
        <v>0.33550000000000002</v>
      </c>
      <c r="G6" s="264">
        <f>F6+F7+F8</f>
        <v>0.70540000000000014</v>
      </c>
      <c r="H6" s="283">
        <f>G6</f>
        <v>0.70540000000000014</v>
      </c>
      <c r="I6" s="284" t="s">
        <v>970</v>
      </c>
      <c r="J6" s="285" t="s">
        <v>1242</v>
      </c>
      <c r="K6" s="68"/>
      <c r="L6" s="73"/>
      <c r="P6" s="39"/>
      <c r="Q6" s="39"/>
      <c r="R6" s="45"/>
      <c r="S6" s="39"/>
      <c r="T6" s="39"/>
      <c r="U6" s="46"/>
      <c r="V6" s="39"/>
      <c r="W6" s="39"/>
      <c r="X6" s="39"/>
      <c r="Y6" s="25"/>
      <c r="Z6" s="43"/>
      <c r="AA6" s="43"/>
    </row>
    <row r="7" spans="1:27" ht="24" x14ac:dyDescent="0.2">
      <c r="A7" s="294"/>
      <c r="B7" s="295"/>
      <c r="C7" s="122" t="s">
        <v>975</v>
      </c>
      <c r="D7" s="123">
        <v>0.77</v>
      </c>
      <c r="E7" s="122">
        <v>0.27</v>
      </c>
      <c r="F7" s="122">
        <f t="shared" ref="F7:F14" si="1">E7*D7</f>
        <v>0.20790000000000003</v>
      </c>
      <c r="G7" s="264"/>
      <c r="H7" s="283"/>
      <c r="I7" s="284"/>
      <c r="J7" s="285"/>
      <c r="K7" s="68"/>
      <c r="L7" s="73"/>
      <c r="P7" s="39"/>
      <c r="Q7" s="39"/>
      <c r="R7" s="45"/>
      <c r="S7" s="39"/>
      <c r="T7" s="39"/>
      <c r="U7" s="46"/>
      <c r="V7" s="39"/>
      <c r="W7" s="39"/>
      <c r="X7" s="39"/>
      <c r="Y7" s="25"/>
      <c r="Z7" s="43"/>
      <c r="AA7" s="43"/>
    </row>
    <row r="8" spans="1:27" ht="24" x14ac:dyDescent="0.25">
      <c r="A8" s="294"/>
      <c r="B8" s="295"/>
      <c r="C8" s="124" t="s">
        <v>976</v>
      </c>
      <c r="D8" s="125">
        <v>0.9</v>
      </c>
      <c r="E8" s="124">
        <v>0.18</v>
      </c>
      <c r="F8" s="122">
        <f t="shared" si="1"/>
        <v>0.16200000000000001</v>
      </c>
      <c r="G8" s="264"/>
      <c r="H8" s="283"/>
      <c r="I8" s="284"/>
      <c r="J8" s="285"/>
      <c r="K8" s="68"/>
      <c r="L8" s="73"/>
      <c r="P8" s="39"/>
      <c r="Q8" s="39"/>
      <c r="R8" s="45"/>
      <c r="S8" s="39"/>
      <c r="T8" s="39"/>
      <c r="U8" s="46"/>
      <c r="V8" s="39"/>
      <c r="W8" s="39"/>
      <c r="X8" s="39"/>
    </row>
    <row r="9" spans="1:27" ht="13.9" customHeight="1" x14ac:dyDescent="0.25">
      <c r="A9" s="296" t="s">
        <v>103</v>
      </c>
      <c r="B9" s="299" t="s">
        <v>965</v>
      </c>
      <c r="C9" s="124" t="s">
        <v>978</v>
      </c>
      <c r="D9" s="125">
        <v>0.72</v>
      </c>
      <c r="E9" s="124">
        <v>0.55000000000000004</v>
      </c>
      <c r="F9" s="122">
        <f>E9*D9</f>
        <v>0.39600000000000002</v>
      </c>
      <c r="G9" s="264">
        <f>F9+F10+F11</f>
        <v>0.61919999999999997</v>
      </c>
      <c r="H9" s="265">
        <f>G9</f>
        <v>0.61919999999999997</v>
      </c>
      <c r="I9" s="277" t="s">
        <v>969</v>
      </c>
      <c r="J9" s="278" t="s">
        <v>1243</v>
      </c>
      <c r="K9" s="68"/>
      <c r="L9" s="68"/>
      <c r="P9" s="39"/>
      <c r="Q9" s="39"/>
      <c r="R9" s="45"/>
      <c r="S9" s="39"/>
      <c r="T9" s="39"/>
      <c r="U9" s="46"/>
      <c r="V9" s="39"/>
      <c r="W9" s="39"/>
      <c r="X9" s="39"/>
    </row>
    <row r="10" spans="1:27" ht="15" customHeight="1" x14ac:dyDescent="0.25">
      <c r="A10" s="297"/>
      <c r="B10" s="300"/>
      <c r="C10" s="122" t="s">
        <v>979</v>
      </c>
      <c r="D10" s="125">
        <v>0.52</v>
      </c>
      <c r="E10" s="124">
        <v>0.27</v>
      </c>
      <c r="F10" s="122">
        <f>E10*D10</f>
        <v>0.14040000000000002</v>
      </c>
      <c r="G10" s="264"/>
      <c r="H10" s="266"/>
      <c r="I10" s="277"/>
      <c r="J10" s="279"/>
      <c r="K10" s="68"/>
      <c r="L10" s="68"/>
      <c r="M10" s="39"/>
      <c r="N10" s="39"/>
      <c r="O10" s="39"/>
      <c r="P10" s="39"/>
      <c r="Q10" s="39"/>
      <c r="R10" s="45"/>
      <c r="S10" s="39"/>
      <c r="T10" s="39"/>
      <c r="U10" s="46"/>
      <c r="V10" s="39"/>
      <c r="W10" s="39"/>
      <c r="X10" s="39"/>
    </row>
    <row r="11" spans="1:27" ht="24" x14ac:dyDescent="0.25">
      <c r="A11" s="298"/>
      <c r="B11" s="301"/>
      <c r="C11" s="124" t="s">
        <v>977</v>
      </c>
      <c r="D11" s="125">
        <v>0.46</v>
      </c>
      <c r="E11" s="124">
        <v>0.18</v>
      </c>
      <c r="F11" s="122">
        <f t="shared" si="1"/>
        <v>8.2799999999999999E-2</v>
      </c>
      <c r="G11" s="264"/>
      <c r="H11" s="267"/>
      <c r="I11" s="277"/>
      <c r="J11" s="280"/>
      <c r="K11" s="68"/>
      <c r="L11" s="68"/>
      <c r="M11" s="39"/>
      <c r="N11" s="39"/>
      <c r="O11" s="39"/>
      <c r="P11" s="39"/>
      <c r="Q11" s="39"/>
      <c r="R11" s="45"/>
      <c r="S11" s="39"/>
      <c r="T11" s="39"/>
      <c r="U11" s="46"/>
      <c r="V11" s="39"/>
      <c r="W11" s="39"/>
      <c r="X11" s="39"/>
    </row>
    <row r="12" spans="1:27" s="49" customFormat="1" ht="22.9" customHeight="1" x14ac:dyDescent="0.25">
      <c r="A12" s="289" t="s">
        <v>109</v>
      </c>
      <c r="B12" s="284" t="s">
        <v>966</v>
      </c>
      <c r="C12" s="122" t="s">
        <v>967</v>
      </c>
      <c r="D12" s="123">
        <v>0.66</v>
      </c>
      <c r="E12" s="122">
        <v>0.55000000000000004</v>
      </c>
      <c r="F12" s="122">
        <f t="shared" si="1"/>
        <v>0.36300000000000004</v>
      </c>
      <c r="G12" s="264">
        <f>F12+F13+F14</f>
        <v>0.66720000000000002</v>
      </c>
      <c r="H12" s="265">
        <f>G12</f>
        <v>0.66720000000000002</v>
      </c>
      <c r="I12" s="268" t="s">
        <v>968</v>
      </c>
      <c r="J12" s="271" t="s">
        <v>1244</v>
      </c>
      <c r="K12" s="69"/>
      <c r="L12" s="69"/>
      <c r="N12" s="50"/>
      <c r="R12" s="51"/>
      <c r="U12" s="52"/>
    </row>
    <row r="13" spans="1:27" s="49" customFormat="1" ht="24" x14ac:dyDescent="0.25">
      <c r="A13" s="289"/>
      <c r="B13" s="284"/>
      <c r="C13" s="124" t="s">
        <v>823</v>
      </c>
      <c r="D13" s="123">
        <v>0.46</v>
      </c>
      <c r="E13" s="122">
        <v>0.27</v>
      </c>
      <c r="F13" s="122">
        <f t="shared" si="1"/>
        <v>0.12420000000000002</v>
      </c>
      <c r="G13" s="264"/>
      <c r="H13" s="266"/>
      <c r="I13" s="269"/>
      <c r="J13" s="272"/>
      <c r="K13" s="69"/>
      <c r="L13" s="69"/>
      <c r="N13" s="50"/>
      <c r="R13" s="51"/>
      <c r="U13" s="52"/>
    </row>
    <row r="14" spans="1:27" s="49" customFormat="1" ht="24" x14ac:dyDescent="0.25">
      <c r="A14" s="289"/>
      <c r="B14" s="284"/>
      <c r="C14" s="124" t="s">
        <v>980</v>
      </c>
      <c r="D14" s="123">
        <v>1</v>
      </c>
      <c r="E14" s="122">
        <v>0.18</v>
      </c>
      <c r="F14" s="122">
        <f t="shared" si="1"/>
        <v>0.18</v>
      </c>
      <c r="G14" s="264"/>
      <c r="H14" s="267"/>
      <c r="I14" s="270"/>
      <c r="J14" s="273"/>
      <c r="K14" s="69"/>
      <c r="L14" s="69"/>
      <c r="N14" s="50"/>
      <c r="R14" s="51"/>
      <c r="U14" s="52"/>
    </row>
    <row r="15" spans="1:27" ht="45" customHeight="1" x14ac:dyDescent="0.25">
      <c r="A15" s="292"/>
      <c r="B15" s="256"/>
      <c r="C15" s="60"/>
      <c r="D15" s="115"/>
      <c r="E15" s="60"/>
      <c r="F15" s="60"/>
      <c r="G15" s="242"/>
      <c r="H15" s="257"/>
      <c r="I15" s="258"/>
      <c r="J15" s="259"/>
      <c r="K15" s="70"/>
      <c r="L15" s="68"/>
      <c r="M15" s="39"/>
      <c r="N15" s="47"/>
      <c r="O15" s="39"/>
      <c r="P15" s="39"/>
      <c r="Q15" s="39"/>
      <c r="R15" s="45"/>
      <c r="S15" s="39"/>
      <c r="T15" s="39"/>
      <c r="U15" s="46"/>
      <c r="V15" s="39"/>
      <c r="W15" s="39"/>
      <c r="X15" s="39"/>
    </row>
    <row r="16" spans="1:27" ht="41.45" customHeight="1" x14ac:dyDescent="0.25">
      <c r="A16" s="292"/>
      <c r="B16" s="256"/>
      <c r="C16" s="60"/>
      <c r="D16" s="115"/>
      <c r="E16" s="60"/>
      <c r="F16" s="60"/>
      <c r="G16" s="242"/>
      <c r="H16" s="257"/>
      <c r="I16" s="258"/>
      <c r="J16" s="259"/>
      <c r="K16" s="70"/>
      <c r="L16" s="68"/>
      <c r="M16" s="39"/>
      <c r="N16" s="47"/>
      <c r="O16" s="39"/>
      <c r="P16" s="39"/>
      <c r="Q16" s="39"/>
      <c r="R16" s="45"/>
      <c r="S16" s="39"/>
      <c r="T16" s="39"/>
      <c r="U16" s="46"/>
      <c r="V16" s="39"/>
      <c r="W16" s="39"/>
      <c r="X16" s="39"/>
    </row>
    <row r="17" spans="1:24" x14ac:dyDescent="0.25">
      <c r="A17" s="292"/>
      <c r="B17" s="256"/>
      <c r="C17" s="113"/>
      <c r="D17" s="116"/>
      <c r="E17" s="113"/>
      <c r="F17" s="60"/>
      <c r="G17" s="242"/>
      <c r="H17" s="257"/>
      <c r="I17" s="258"/>
      <c r="J17" s="259"/>
      <c r="K17" s="68"/>
      <c r="L17" s="68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</row>
    <row r="18" spans="1:24" ht="23.45" customHeight="1" x14ac:dyDescent="0.25">
      <c r="A18" s="291"/>
      <c r="B18" s="261"/>
      <c r="C18" s="113"/>
      <c r="D18" s="116"/>
      <c r="E18" s="113"/>
      <c r="F18" s="113"/>
      <c r="G18" s="258"/>
      <c r="H18" s="262"/>
      <c r="I18" s="242"/>
      <c r="J18" s="244"/>
      <c r="K18" s="68"/>
      <c r="L18" s="68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</row>
    <row r="19" spans="1:24" ht="33.6" customHeight="1" x14ac:dyDescent="0.25">
      <c r="A19" s="291"/>
      <c r="B19" s="261"/>
      <c r="C19" s="113"/>
      <c r="D19" s="116"/>
      <c r="E19" s="113"/>
      <c r="F19" s="113"/>
      <c r="G19" s="258"/>
      <c r="H19" s="262"/>
      <c r="I19" s="242"/>
      <c r="J19" s="244"/>
      <c r="K19" s="68"/>
      <c r="L19" s="68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</row>
    <row r="20" spans="1:24" ht="34.9" customHeight="1" x14ac:dyDescent="0.25">
      <c r="A20" s="291"/>
      <c r="B20" s="261"/>
      <c r="C20" s="60"/>
      <c r="D20" s="115"/>
      <c r="E20" s="60"/>
      <c r="F20" s="113"/>
      <c r="G20" s="258"/>
      <c r="H20" s="262"/>
      <c r="I20" s="242"/>
      <c r="J20" s="244"/>
      <c r="K20" s="68"/>
      <c r="L20" s="68"/>
      <c r="M20" s="39"/>
      <c r="N20" s="39"/>
      <c r="O20" s="39"/>
      <c r="P20" s="46"/>
      <c r="Q20" s="39"/>
      <c r="R20" s="39"/>
      <c r="S20" s="39"/>
      <c r="T20" s="39"/>
      <c r="U20" s="39"/>
      <c r="V20" s="39"/>
      <c r="W20" s="39"/>
      <c r="X20" s="39"/>
    </row>
    <row r="21" spans="1:24" x14ac:dyDescent="0.25">
      <c r="A21" s="292"/>
      <c r="B21" s="256"/>
      <c r="C21" s="60"/>
      <c r="D21" s="115"/>
      <c r="E21" s="60"/>
      <c r="F21" s="60"/>
      <c r="G21" s="242"/>
      <c r="H21" s="257"/>
      <c r="I21" s="258"/>
      <c r="J21" s="259"/>
      <c r="K21" s="68"/>
      <c r="L21" s="68"/>
      <c r="M21" s="39"/>
      <c r="N21" s="39"/>
      <c r="O21" s="39"/>
      <c r="P21" s="46"/>
      <c r="Q21" s="39"/>
      <c r="R21" s="39"/>
      <c r="S21" s="39"/>
      <c r="T21" s="39"/>
      <c r="U21" s="39"/>
      <c r="V21" s="39"/>
      <c r="W21" s="39"/>
      <c r="X21" s="39"/>
    </row>
    <row r="22" spans="1:24" x14ac:dyDescent="0.25">
      <c r="A22" s="292"/>
      <c r="B22" s="256"/>
      <c r="C22" s="60"/>
      <c r="D22" s="115"/>
      <c r="E22" s="60"/>
      <c r="F22" s="60"/>
      <c r="G22" s="242"/>
      <c r="H22" s="257"/>
      <c r="I22" s="258"/>
      <c r="J22" s="259"/>
      <c r="K22" s="68"/>
      <c r="L22" s="68"/>
      <c r="M22" s="39"/>
      <c r="N22" s="39"/>
      <c r="O22" s="39"/>
      <c r="P22" s="46"/>
      <c r="Q22" s="39"/>
      <c r="R22" s="39"/>
      <c r="S22" s="39"/>
      <c r="T22" s="39"/>
      <c r="U22" s="39"/>
      <c r="V22" s="39"/>
      <c r="W22" s="39"/>
      <c r="X22" s="39"/>
    </row>
    <row r="23" spans="1:24" x14ac:dyDescent="0.25">
      <c r="A23" s="291"/>
      <c r="B23" s="261"/>
      <c r="C23" s="113"/>
      <c r="D23" s="116"/>
      <c r="E23" s="113"/>
      <c r="F23" s="113"/>
      <c r="G23" s="258"/>
      <c r="H23" s="262"/>
      <c r="I23" s="242"/>
      <c r="J23" s="244"/>
      <c r="K23" s="68"/>
      <c r="L23" s="68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</row>
    <row r="24" spans="1:24" ht="34.9" customHeight="1" x14ac:dyDescent="0.25">
      <c r="A24" s="291"/>
      <c r="B24" s="261"/>
      <c r="C24" s="113"/>
      <c r="D24" s="116"/>
      <c r="E24" s="113"/>
      <c r="F24" s="113"/>
      <c r="G24" s="258"/>
      <c r="H24" s="262"/>
      <c r="I24" s="242"/>
      <c r="J24" s="244"/>
      <c r="K24" s="68"/>
      <c r="L24" s="68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</row>
    <row r="25" spans="1:24" ht="15" x14ac:dyDescent="0.25">
      <c r="A25" s="291"/>
      <c r="B25" s="261"/>
      <c r="C25" s="60"/>
      <c r="D25" s="115"/>
      <c r="E25" s="60"/>
      <c r="F25" s="113"/>
      <c r="G25" s="258"/>
      <c r="H25" s="262"/>
      <c r="I25" s="242"/>
      <c r="J25" s="244"/>
      <c r="K25" s="68"/>
      <c r="L25" s="68"/>
      <c r="M25" s="39"/>
      <c r="N25" s="39"/>
      <c r="O25" s="39"/>
      <c r="P25" s="39"/>
      <c r="Q25" s="48"/>
      <c r="R25" s="39"/>
      <c r="S25" s="39"/>
      <c r="T25" s="48"/>
      <c r="U25" s="39"/>
      <c r="V25" s="39"/>
      <c r="W25" s="48"/>
      <c r="X25" s="39"/>
    </row>
    <row r="26" spans="1:24" ht="15" x14ac:dyDescent="0.25">
      <c r="A26" s="292"/>
      <c r="B26" s="256"/>
      <c r="C26" s="60"/>
      <c r="D26" s="115"/>
      <c r="E26" s="60"/>
      <c r="F26" s="60"/>
      <c r="G26" s="242"/>
      <c r="H26" s="257"/>
      <c r="I26" s="242"/>
      <c r="J26" s="259"/>
      <c r="K26" s="68"/>
      <c r="L26" s="68"/>
      <c r="M26" s="39"/>
      <c r="N26" s="39"/>
      <c r="O26" s="39"/>
      <c r="P26" s="39"/>
      <c r="Q26" s="48"/>
      <c r="R26" s="39"/>
      <c r="S26" s="39"/>
      <c r="T26" s="48"/>
      <c r="U26" s="39"/>
      <c r="V26" s="39"/>
      <c r="W26" s="48"/>
      <c r="X26" s="39"/>
    </row>
    <row r="27" spans="1:24" ht="15" x14ac:dyDescent="0.25">
      <c r="A27" s="292"/>
      <c r="B27" s="256"/>
      <c r="C27" s="60"/>
      <c r="D27" s="115"/>
      <c r="E27" s="60"/>
      <c r="F27" s="60"/>
      <c r="G27" s="242"/>
      <c r="H27" s="257"/>
      <c r="I27" s="242"/>
      <c r="J27" s="259"/>
      <c r="K27" s="68"/>
      <c r="L27" s="68"/>
      <c r="M27" s="39"/>
      <c r="N27" s="39"/>
      <c r="O27" s="39"/>
      <c r="P27" s="39"/>
      <c r="Q27" s="48"/>
      <c r="R27" s="39"/>
      <c r="S27" s="39"/>
      <c r="T27" s="48"/>
      <c r="U27" s="39"/>
      <c r="V27" s="39"/>
      <c r="W27" s="48"/>
      <c r="X27" s="39"/>
    </row>
    <row r="28" spans="1:24" ht="15" x14ac:dyDescent="0.25">
      <c r="A28" s="291"/>
      <c r="B28" s="261"/>
      <c r="C28" s="113"/>
      <c r="D28" s="116"/>
      <c r="E28" s="113"/>
      <c r="F28" s="113"/>
      <c r="G28" s="258"/>
      <c r="H28" s="262"/>
      <c r="I28" s="263"/>
      <c r="J28" s="244"/>
      <c r="K28" s="68"/>
      <c r="L28" s="68"/>
      <c r="M28" s="39"/>
      <c r="N28" s="39"/>
      <c r="O28" s="39"/>
      <c r="P28" s="39"/>
      <c r="Q28" s="48"/>
      <c r="R28" s="39"/>
      <c r="S28" s="39"/>
      <c r="T28" s="48"/>
      <c r="U28" s="39"/>
      <c r="V28" s="39"/>
      <c r="W28" s="48"/>
      <c r="X28" s="39"/>
    </row>
    <row r="29" spans="1:24" ht="34.9" customHeight="1" x14ac:dyDescent="0.25">
      <c r="A29" s="291"/>
      <c r="B29" s="261"/>
      <c r="C29" s="113"/>
      <c r="D29" s="116"/>
      <c r="E29" s="113"/>
      <c r="F29" s="113"/>
      <c r="G29" s="258"/>
      <c r="H29" s="262"/>
      <c r="I29" s="263"/>
      <c r="J29" s="244"/>
      <c r="K29" s="68"/>
      <c r="L29" s="68"/>
      <c r="M29" s="39"/>
      <c r="N29" s="39"/>
      <c r="O29" s="39"/>
      <c r="P29" s="39"/>
      <c r="Q29" s="48"/>
      <c r="R29" s="39"/>
      <c r="S29" s="39"/>
      <c r="T29" s="48"/>
      <c r="U29" s="39"/>
      <c r="V29" s="39"/>
      <c r="W29" s="48"/>
      <c r="X29" s="39"/>
    </row>
    <row r="30" spans="1:24" s="39" customFormat="1" ht="15" x14ac:dyDescent="0.25">
      <c r="A30" s="291"/>
      <c r="B30" s="261"/>
      <c r="C30" s="60"/>
      <c r="D30" s="115"/>
      <c r="E30" s="60"/>
      <c r="F30" s="60"/>
      <c r="G30" s="60"/>
      <c r="H30" s="60"/>
      <c r="I30" s="60"/>
      <c r="J30" s="244"/>
      <c r="K30" s="68"/>
      <c r="L30" s="68"/>
      <c r="Q30" s="48"/>
      <c r="T30" s="48"/>
      <c r="W30" s="48"/>
    </row>
    <row r="31" spans="1:24" s="39" customFormat="1" ht="15" x14ac:dyDescent="0.25">
      <c r="A31" s="292"/>
      <c r="B31" s="256"/>
      <c r="C31" s="60"/>
      <c r="D31" s="115"/>
      <c r="E31" s="60"/>
      <c r="F31" s="60"/>
      <c r="G31" s="242"/>
      <c r="H31" s="257"/>
      <c r="I31" s="242"/>
      <c r="J31" s="259"/>
      <c r="K31" s="68"/>
      <c r="L31" s="68"/>
      <c r="Q31" s="48"/>
      <c r="T31" s="48"/>
      <c r="W31" s="48"/>
    </row>
    <row r="32" spans="1:24" s="39" customFormat="1" ht="34.9" customHeight="1" x14ac:dyDescent="0.25">
      <c r="A32" s="292"/>
      <c r="B32" s="256"/>
      <c r="C32" s="60"/>
      <c r="D32" s="115"/>
      <c r="E32" s="60"/>
      <c r="F32" s="60"/>
      <c r="G32" s="242"/>
      <c r="H32" s="257"/>
      <c r="I32" s="242"/>
      <c r="J32" s="259"/>
      <c r="K32" s="68"/>
      <c r="L32" s="68"/>
      <c r="Q32" s="48"/>
      <c r="T32" s="48"/>
      <c r="W32" s="48"/>
    </row>
    <row r="33" spans="1:24" ht="15" x14ac:dyDescent="0.25">
      <c r="A33" s="291"/>
      <c r="B33" s="261"/>
      <c r="C33" s="113"/>
      <c r="D33" s="116"/>
      <c r="E33" s="113"/>
      <c r="F33" s="113"/>
      <c r="G33" s="258"/>
      <c r="H33" s="262"/>
      <c r="I33" s="258"/>
      <c r="J33" s="244"/>
      <c r="K33" s="68"/>
      <c r="L33" s="68"/>
      <c r="M33" s="39"/>
      <c r="N33" s="39"/>
      <c r="O33" s="39"/>
      <c r="P33" s="39"/>
      <c r="Q33" s="48"/>
      <c r="R33" s="39"/>
      <c r="S33" s="39"/>
      <c r="T33" s="48"/>
      <c r="U33" s="39"/>
      <c r="V33" s="39"/>
      <c r="W33" s="48"/>
      <c r="X33" s="39"/>
    </row>
    <row r="34" spans="1:24" ht="34.9" customHeight="1" x14ac:dyDescent="0.25">
      <c r="A34" s="291"/>
      <c r="B34" s="261"/>
      <c r="C34" s="113"/>
      <c r="D34" s="116"/>
      <c r="E34" s="113"/>
      <c r="F34" s="113"/>
      <c r="G34" s="258"/>
      <c r="H34" s="262"/>
      <c r="I34" s="258"/>
      <c r="J34" s="244"/>
      <c r="K34" s="68"/>
      <c r="L34" s="68"/>
      <c r="M34" s="39"/>
      <c r="N34" s="39"/>
      <c r="O34" s="39"/>
      <c r="P34" s="39"/>
      <c r="Q34" s="48"/>
      <c r="R34" s="39"/>
      <c r="S34" s="39"/>
      <c r="T34" s="48"/>
      <c r="U34" s="39"/>
      <c r="V34" s="39"/>
      <c r="W34" s="48"/>
      <c r="X34" s="39"/>
    </row>
    <row r="35" spans="1:24" ht="34.9" customHeight="1" x14ac:dyDescent="0.25">
      <c r="A35" s="292"/>
      <c r="B35" s="256"/>
      <c r="C35" s="60"/>
      <c r="D35" s="115"/>
      <c r="E35" s="60"/>
      <c r="F35" s="60"/>
      <c r="G35" s="242"/>
      <c r="H35" s="257"/>
      <c r="I35" s="242"/>
      <c r="J35" s="259"/>
      <c r="K35" s="68"/>
      <c r="L35" s="68"/>
      <c r="M35" s="39"/>
      <c r="N35" s="39"/>
      <c r="O35" s="39"/>
      <c r="P35" s="48"/>
      <c r="Q35" s="48"/>
      <c r="R35" s="39"/>
      <c r="S35" s="39"/>
      <c r="T35" s="48"/>
      <c r="U35" s="39"/>
      <c r="V35" s="39"/>
      <c r="W35" s="48"/>
      <c r="X35" s="39"/>
    </row>
    <row r="36" spans="1:24" ht="34.9" customHeight="1" x14ac:dyDescent="0.25">
      <c r="A36" s="292"/>
      <c r="B36" s="256"/>
      <c r="C36" s="60"/>
      <c r="D36" s="115"/>
      <c r="E36" s="60"/>
      <c r="F36" s="60"/>
      <c r="G36" s="242"/>
      <c r="H36" s="257"/>
      <c r="I36" s="242"/>
      <c r="J36" s="259"/>
      <c r="K36" s="68"/>
      <c r="L36" s="68"/>
      <c r="M36" s="39"/>
      <c r="N36" s="39"/>
      <c r="O36" s="39"/>
      <c r="P36" s="48"/>
      <c r="Q36" s="48"/>
      <c r="R36" s="39"/>
      <c r="S36" s="39"/>
      <c r="T36" s="48"/>
      <c r="U36" s="39"/>
      <c r="V36" s="39"/>
      <c r="W36" s="48"/>
      <c r="X36" s="39"/>
    </row>
    <row r="37" spans="1:24" ht="15" x14ac:dyDescent="0.25">
      <c r="A37" s="291"/>
      <c r="B37" s="261"/>
      <c r="C37" s="113"/>
      <c r="D37" s="116"/>
      <c r="E37" s="113"/>
      <c r="F37" s="113"/>
      <c r="G37" s="258"/>
      <c r="H37" s="262"/>
      <c r="I37" s="242"/>
      <c r="J37" s="244"/>
      <c r="K37" s="68"/>
      <c r="L37" s="68"/>
      <c r="M37" s="39"/>
      <c r="N37" s="39"/>
      <c r="O37" s="39"/>
      <c r="P37" s="39"/>
      <c r="Q37" s="48"/>
      <c r="R37" s="39"/>
      <c r="S37" s="39"/>
      <c r="T37" s="48"/>
      <c r="U37" s="39"/>
      <c r="V37" s="39"/>
      <c r="W37" s="48"/>
      <c r="X37" s="39"/>
    </row>
    <row r="38" spans="1:24" ht="34.9" customHeight="1" x14ac:dyDescent="0.25">
      <c r="A38" s="291"/>
      <c r="B38" s="261"/>
      <c r="C38" s="113"/>
      <c r="D38" s="116"/>
      <c r="E38" s="113"/>
      <c r="F38" s="113"/>
      <c r="G38" s="258"/>
      <c r="H38" s="262"/>
      <c r="I38" s="242"/>
      <c r="J38" s="244"/>
      <c r="K38" s="68"/>
      <c r="L38" s="68"/>
      <c r="M38" s="39"/>
      <c r="N38" s="39"/>
      <c r="O38" s="39"/>
      <c r="P38" s="39"/>
      <c r="Q38" s="48"/>
      <c r="R38" s="39"/>
      <c r="S38" s="39"/>
      <c r="T38" s="48"/>
      <c r="U38" s="39"/>
      <c r="V38" s="39"/>
      <c r="W38" s="48"/>
      <c r="X38" s="39"/>
    </row>
    <row r="39" spans="1:24" ht="34.9" customHeight="1" x14ac:dyDescent="0.25">
      <c r="A39" s="291"/>
      <c r="B39" s="261"/>
      <c r="C39" s="60"/>
      <c r="D39" s="115"/>
      <c r="E39" s="60"/>
      <c r="F39" s="113"/>
      <c r="G39" s="258"/>
      <c r="H39" s="262"/>
      <c r="I39" s="242"/>
      <c r="J39" s="244"/>
      <c r="K39" s="68"/>
      <c r="L39" s="68"/>
      <c r="M39" s="39"/>
      <c r="N39" s="39"/>
      <c r="O39" s="39"/>
      <c r="P39" s="39"/>
      <c r="Q39" s="48"/>
      <c r="R39" s="39"/>
      <c r="S39" s="39"/>
      <c r="T39" s="48"/>
      <c r="U39" s="39"/>
      <c r="V39" s="39"/>
      <c r="W39" s="48"/>
      <c r="X39" s="39"/>
    </row>
    <row r="40" spans="1:24" ht="34.9" customHeight="1" x14ac:dyDescent="0.25">
      <c r="A40" s="292"/>
      <c r="B40" s="256"/>
      <c r="C40" s="60"/>
      <c r="D40" s="115"/>
      <c r="E40" s="60"/>
      <c r="F40" s="60"/>
      <c r="G40" s="242"/>
      <c r="H40" s="257"/>
      <c r="I40" s="258"/>
      <c r="J40" s="259"/>
      <c r="K40" s="68"/>
      <c r="L40" s="68"/>
      <c r="M40" s="39"/>
      <c r="N40" s="39"/>
      <c r="O40" s="39"/>
      <c r="P40" s="39"/>
      <c r="Q40" s="48"/>
      <c r="R40" s="39"/>
      <c r="S40" s="39"/>
      <c r="T40" s="48"/>
      <c r="U40" s="39"/>
      <c r="V40" s="39"/>
      <c r="W40" s="48"/>
      <c r="X40" s="39"/>
    </row>
    <row r="41" spans="1:24" ht="34.9" customHeight="1" x14ac:dyDescent="0.25">
      <c r="A41" s="292"/>
      <c r="B41" s="256"/>
      <c r="C41" s="60"/>
      <c r="D41" s="115"/>
      <c r="E41" s="60"/>
      <c r="F41" s="60"/>
      <c r="G41" s="242"/>
      <c r="H41" s="257"/>
      <c r="I41" s="258"/>
      <c r="J41" s="259"/>
      <c r="K41" s="68"/>
      <c r="L41" s="68"/>
      <c r="M41" s="39"/>
      <c r="N41" s="39"/>
      <c r="O41" s="39"/>
      <c r="P41" s="39"/>
      <c r="Q41" s="48"/>
      <c r="R41" s="39"/>
      <c r="S41" s="39"/>
      <c r="T41" s="48"/>
      <c r="U41" s="39"/>
      <c r="V41" s="39"/>
      <c r="W41" s="48"/>
      <c r="X41" s="39"/>
    </row>
    <row r="42" spans="1:24" ht="15" x14ac:dyDescent="0.25">
      <c r="A42" s="292"/>
      <c r="B42" s="256"/>
      <c r="C42" s="113"/>
      <c r="D42" s="116"/>
      <c r="E42" s="113"/>
      <c r="F42" s="60"/>
      <c r="G42" s="242"/>
      <c r="H42" s="257"/>
      <c r="I42" s="258"/>
      <c r="J42" s="259"/>
      <c r="K42" s="68"/>
      <c r="L42" s="68"/>
      <c r="M42" s="39"/>
      <c r="N42" s="39"/>
      <c r="O42" s="39"/>
      <c r="P42" s="39"/>
      <c r="Q42" s="48"/>
      <c r="R42" s="39"/>
      <c r="S42" s="39"/>
      <c r="T42" s="48"/>
      <c r="U42" s="39"/>
      <c r="V42" s="39"/>
      <c r="W42" s="48"/>
      <c r="X42" s="39"/>
    </row>
    <row r="43" spans="1:24" ht="34.9" customHeight="1" x14ac:dyDescent="0.25">
      <c r="A43" s="291"/>
      <c r="B43" s="261"/>
      <c r="C43" s="113"/>
      <c r="D43" s="116"/>
      <c r="E43" s="113"/>
      <c r="F43" s="113"/>
      <c r="G43" s="258"/>
      <c r="H43" s="262"/>
      <c r="I43" s="242"/>
      <c r="J43" s="244"/>
      <c r="K43" s="68"/>
      <c r="L43" s="68"/>
      <c r="M43" s="39"/>
      <c r="N43" s="39"/>
      <c r="O43" s="39"/>
      <c r="P43" s="39"/>
      <c r="Q43" s="48"/>
      <c r="R43" s="39"/>
      <c r="S43" s="39"/>
      <c r="T43" s="48"/>
      <c r="U43" s="39"/>
      <c r="V43" s="39"/>
      <c r="W43" s="48"/>
      <c r="X43" s="39"/>
    </row>
    <row r="44" spans="1:24" ht="15" x14ac:dyDescent="0.25">
      <c r="A44" s="291"/>
      <c r="B44" s="261"/>
      <c r="C44" s="113"/>
      <c r="D44" s="116"/>
      <c r="E44" s="113"/>
      <c r="F44" s="113"/>
      <c r="G44" s="258"/>
      <c r="H44" s="262"/>
      <c r="I44" s="242"/>
      <c r="J44" s="244"/>
      <c r="K44" s="68"/>
      <c r="L44" s="68"/>
      <c r="M44" s="39"/>
      <c r="N44" s="39"/>
      <c r="O44" s="39"/>
      <c r="P44" s="39"/>
      <c r="Q44" s="48"/>
      <c r="R44" s="39"/>
      <c r="S44" s="39"/>
      <c r="T44" s="48"/>
      <c r="U44" s="39"/>
      <c r="V44" s="39"/>
      <c r="W44" s="48"/>
      <c r="X44" s="39"/>
    </row>
    <row r="45" spans="1:24" ht="34.9" customHeight="1" x14ac:dyDescent="0.25">
      <c r="A45" s="291"/>
      <c r="B45" s="261"/>
      <c r="C45" s="60"/>
      <c r="D45" s="115"/>
      <c r="E45" s="60"/>
      <c r="F45" s="60"/>
      <c r="G45" s="258"/>
      <c r="H45" s="262"/>
      <c r="I45" s="242"/>
      <c r="J45" s="244"/>
      <c r="K45" s="68"/>
      <c r="L45" s="68"/>
      <c r="M45" s="39"/>
      <c r="N45" s="39"/>
      <c r="O45" s="39"/>
      <c r="P45" s="39"/>
      <c r="Q45" s="48"/>
      <c r="R45" s="39"/>
      <c r="S45" s="39"/>
      <c r="T45" s="48"/>
      <c r="U45" s="39"/>
      <c r="V45" s="39"/>
      <c r="W45" s="48"/>
      <c r="X45" s="39"/>
    </row>
    <row r="46" spans="1:24" ht="15" x14ac:dyDescent="0.2">
      <c r="A46" s="111"/>
      <c r="B46" s="112"/>
      <c r="C46" s="60"/>
      <c r="D46" s="115"/>
      <c r="E46" s="60"/>
      <c r="F46" s="60"/>
      <c r="G46" s="115"/>
      <c r="H46" s="115"/>
      <c r="I46" s="60"/>
      <c r="J46" s="114"/>
      <c r="K46" s="68"/>
      <c r="L46" s="68"/>
      <c r="M46" s="39"/>
      <c r="N46" s="39"/>
      <c r="O46" s="39"/>
      <c r="P46" s="39"/>
      <c r="Q46" s="48"/>
      <c r="R46" s="39"/>
      <c r="S46" s="39"/>
      <c r="T46" s="48"/>
      <c r="U46" s="39"/>
      <c r="V46" s="39"/>
      <c r="W46" s="48"/>
      <c r="X46" s="39"/>
    </row>
    <row r="47" spans="1:24" ht="15" x14ac:dyDescent="0.25">
      <c r="A47" s="291"/>
      <c r="B47" s="261"/>
      <c r="C47" s="113"/>
      <c r="D47" s="116"/>
      <c r="E47" s="113"/>
      <c r="F47" s="60"/>
      <c r="G47" s="258"/>
      <c r="H47" s="262"/>
      <c r="I47" s="258"/>
      <c r="J47" s="244"/>
      <c r="P47" s="39"/>
      <c r="Q47" s="48"/>
      <c r="R47" s="39"/>
      <c r="S47" s="39"/>
      <c r="T47" s="48"/>
      <c r="U47" s="39"/>
      <c r="V47" s="39"/>
      <c r="W47" s="48"/>
      <c r="X47" s="39"/>
    </row>
    <row r="48" spans="1:24" ht="15" x14ac:dyDescent="0.25">
      <c r="A48" s="291"/>
      <c r="B48" s="261"/>
      <c r="C48" s="113"/>
      <c r="D48" s="116"/>
      <c r="E48" s="113"/>
      <c r="F48" s="60"/>
      <c r="G48" s="258"/>
      <c r="H48" s="262"/>
      <c r="I48" s="258"/>
      <c r="J48" s="244"/>
      <c r="P48" s="39"/>
      <c r="Q48" s="48"/>
      <c r="R48" s="39"/>
      <c r="S48" s="39"/>
      <c r="T48" s="48"/>
      <c r="U48" s="39"/>
      <c r="V48" s="39"/>
      <c r="W48" s="48"/>
      <c r="X48" s="39"/>
    </row>
    <row r="49" spans="1:23" ht="24.6" customHeight="1" x14ac:dyDescent="0.25">
      <c r="A49" s="292"/>
      <c r="B49" s="256"/>
      <c r="C49" s="60"/>
      <c r="D49" s="115"/>
      <c r="E49" s="60"/>
      <c r="F49" s="60"/>
      <c r="G49" s="242"/>
      <c r="H49" s="257"/>
      <c r="I49" s="258"/>
      <c r="J49" s="259"/>
      <c r="Q49" s="44"/>
      <c r="T49" s="44"/>
      <c r="W49" s="44"/>
    </row>
    <row r="50" spans="1:23" ht="15" x14ac:dyDescent="0.25">
      <c r="A50" s="292"/>
      <c r="B50" s="256"/>
      <c r="C50" s="60"/>
      <c r="D50" s="115"/>
      <c r="E50" s="60"/>
      <c r="F50" s="60"/>
      <c r="G50" s="242"/>
      <c r="H50" s="257"/>
      <c r="I50" s="258"/>
      <c r="J50" s="259"/>
      <c r="Q50" s="44"/>
      <c r="T50" s="44"/>
      <c r="W50" s="44"/>
    </row>
    <row r="51" spans="1:23" x14ac:dyDescent="0.25">
      <c r="A51" s="292"/>
      <c r="B51" s="256"/>
      <c r="C51" s="113"/>
      <c r="D51" s="116"/>
      <c r="E51" s="113"/>
      <c r="F51" s="60"/>
      <c r="G51" s="242"/>
      <c r="H51" s="257"/>
      <c r="I51" s="258"/>
      <c r="J51" s="259"/>
    </row>
    <row r="52" spans="1:23" ht="24.6" customHeight="1" x14ac:dyDescent="0.25">
      <c r="A52" s="291"/>
      <c r="B52" s="261"/>
      <c r="C52" s="113"/>
      <c r="D52" s="116"/>
      <c r="E52" s="113"/>
      <c r="F52" s="113"/>
      <c r="G52" s="258"/>
      <c r="H52" s="262"/>
      <c r="I52" s="242"/>
      <c r="J52" s="244"/>
    </row>
    <row r="53" spans="1:23" ht="15" customHeight="1" x14ac:dyDescent="0.25">
      <c r="A53" s="291"/>
      <c r="B53" s="261"/>
      <c r="C53" s="113"/>
      <c r="D53" s="116"/>
      <c r="E53" s="113"/>
      <c r="F53" s="113"/>
      <c r="G53" s="258"/>
      <c r="H53" s="262"/>
      <c r="I53" s="242"/>
      <c r="J53" s="244"/>
    </row>
    <row r="54" spans="1:23" ht="15" customHeight="1" x14ac:dyDescent="0.25">
      <c r="A54" s="291"/>
      <c r="B54" s="261"/>
      <c r="C54" s="60"/>
      <c r="D54" s="115"/>
      <c r="E54" s="60"/>
      <c r="F54" s="113"/>
      <c r="G54" s="258"/>
      <c r="H54" s="262"/>
      <c r="I54" s="242"/>
      <c r="J54" s="244"/>
    </row>
    <row r="55" spans="1:23" x14ac:dyDescent="0.2">
      <c r="A55" s="111"/>
      <c r="B55" s="112"/>
      <c r="C55" s="60"/>
      <c r="D55" s="115"/>
      <c r="E55" s="60"/>
      <c r="F55" s="60"/>
      <c r="G55" s="60"/>
      <c r="H55" s="115"/>
      <c r="I55" s="60"/>
      <c r="J55" s="114"/>
    </row>
    <row r="60" spans="1:23" x14ac:dyDescent="0.2">
      <c r="A60" s="54"/>
      <c r="B60" s="56"/>
      <c r="C60" s="55"/>
      <c r="D60" s="55"/>
      <c r="E60" s="55"/>
      <c r="F60" s="55"/>
      <c r="G60" s="55"/>
      <c r="H60" s="55"/>
      <c r="I60" s="55"/>
      <c r="J60" s="56"/>
    </row>
    <row r="61" spans="1:23" x14ac:dyDescent="0.2">
      <c r="A61" s="54"/>
      <c r="B61" s="56"/>
      <c r="C61" s="55"/>
      <c r="D61" s="55"/>
      <c r="E61" s="55"/>
      <c r="F61" s="55"/>
      <c r="G61" s="55"/>
      <c r="H61" s="55"/>
      <c r="I61" s="55"/>
      <c r="J61" s="56"/>
    </row>
    <row r="62" spans="1:23" x14ac:dyDescent="0.2">
      <c r="A62" s="111"/>
      <c r="B62" s="112"/>
      <c r="C62" s="113"/>
      <c r="D62" s="113"/>
      <c r="E62" s="113"/>
      <c r="F62" s="113"/>
      <c r="G62" s="113"/>
      <c r="H62" s="113"/>
      <c r="I62" s="113"/>
      <c r="J62" s="114"/>
    </row>
    <row r="63" spans="1:23" ht="37.9" customHeight="1" x14ac:dyDescent="0.2">
      <c r="A63" s="111"/>
      <c r="B63" s="112"/>
      <c r="C63" s="113"/>
      <c r="D63" s="113"/>
      <c r="E63" s="113"/>
      <c r="F63" s="113"/>
      <c r="G63" s="113"/>
      <c r="H63" s="113"/>
      <c r="I63" s="113"/>
      <c r="J63" s="114"/>
    </row>
    <row r="64" spans="1:23" x14ac:dyDescent="0.2">
      <c r="A64" s="111"/>
      <c r="B64" s="112"/>
      <c r="C64" s="113"/>
      <c r="D64" s="113"/>
      <c r="E64" s="113"/>
      <c r="F64" s="113"/>
      <c r="G64" s="113"/>
      <c r="H64" s="113"/>
      <c r="I64" s="113"/>
      <c r="J64" s="114"/>
    </row>
    <row r="65" spans="1:10" x14ac:dyDescent="0.2">
      <c r="A65" s="54"/>
      <c r="B65" s="72"/>
      <c r="C65" s="60"/>
      <c r="D65" s="60"/>
      <c r="E65" s="60"/>
      <c r="F65" s="60"/>
      <c r="G65" s="60"/>
      <c r="H65" s="60"/>
      <c r="I65" s="60"/>
      <c r="J65" s="56"/>
    </row>
    <row r="66" spans="1:10" x14ac:dyDescent="0.2">
      <c r="A66" s="111"/>
      <c r="B66" s="112"/>
      <c r="C66" s="113"/>
      <c r="D66" s="113"/>
      <c r="E66" s="113"/>
      <c r="F66" s="113"/>
      <c r="G66" s="113"/>
      <c r="H66" s="113"/>
      <c r="I66" s="113"/>
      <c r="J66" s="114"/>
    </row>
    <row r="67" spans="1:10" x14ac:dyDescent="0.2">
      <c r="A67" s="54"/>
      <c r="B67" s="72"/>
      <c r="C67" s="60"/>
      <c r="D67" s="60"/>
      <c r="E67" s="60"/>
      <c r="F67" s="60"/>
      <c r="G67" s="60"/>
      <c r="H67" s="60"/>
      <c r="I67" s="60"/>
      <c r="J67" s="56"/>
    </row>
    <row r="68" spans="1:10" x14ac:dyDescent="0.2">
      <c r="A68" s="111"/>
      <c r="B68" s="112"/>
      <c r="C68" s="113"/>
      <c r="D68" s="113"/>
      <c r="E68" s="113"/>
      <c r="F68" s="113"/>
      <c r="G68" s="113"/>
      <c r="H68" s="113"/>
      <c r="I68" s="113"/>
      <c r="J68" s="114"/>
    </row>
    <row r="69" spans="1:10" x14ac:dyDescent="0.2">
      <c r="A69" s="54"/>
      <c r="B69" s="72"/>
      <c r="C69" s="60"/>
      <c r="D69" s="60"/>
      <c r="E69" s="60"/>
      <c r="F69" s="60"/>
      <c r="G69" s="60"/>
      <c r="H69" s="60"/>
      <c r="I69" s="60"/>
      <c r="J69" s="56"/>
    </row>
    <row r="70" spans="1:10" x14ac:dyDescent="0.2">
      <c r="A70" s="111"/>
      <c r="B70" s="112"/>
      <c r="C70" s="113"/>
      <c r="D70" s="113"/>
      <c r="E70" s="113"/>
      <c r="F70" s="113"/>
      <c r="G70" s="113"/>
      <c r="H70" s="113"/>
      <c r="I70" s="113"/>
      <c r="J70" s="114"/>
    </row>
    <row r="71" spans="1:10" x14ac:dyDescent="0.2">
      <c r="A71" s="54"/>
      <c r="B71" s="72"/>
      <c r="C71" s="60"/>
      <c r="D71" s="60"/>
      <c r="E71" s="60"/>
      <c r="F71" s="60"/>
      <c r="G71" s="60"/>
      <c r="H71" s="60"/>
      <c r="I71" s="60"/>
      <c r="J71" s="56"/>
    </row>
    <row r="72" spans="1:10" x14ac:dyDescent="0.2">
      <c r="A72" s="111"/>
      <c r="B72" s="112"/>
      <c r="C72" s="113"/>
      <c r="D72" s="113"/>
      <c r="E72" s="113"/>
      <c r="F72" s="113"/>
      <c r="G72" s="113"/>
      <c r="H72" s="113"/>
      <c r="I72" s="113"/>
      <c r="J72" s="114"/>
    </row>
    <row r="73" spans="1:10" x14ac:dyDescent="0.2">
      <c r="A73" s="54"/>
      <c r="B73" s="72"/>
      <c r="C73" s="60"/>
      <c r="D73" s="60"/>
      <c r="E73" s="60"/>
      <c r="F73" s="60"/>
      <c r="G73" s="60"/>
      <c r="H73" s="60"/>
      <c r="I73" s="60"/>
      <c r="J73" s="56"/>
    </row>
    <row r="74" spans="1:10" x14ac:dyDescent="0.2">
      <c r="A74" s="111"/>
      <c r="B74" s="112"/>
      <c r="C74" s="113"/>
      <c r="D74" s="113"/>
      <c r="E74" s="113"/>
      <c r="F74" s="113"/>
      <c r="G74" s="113"/>
      <c r="H74" s="113"/>
      <c r="I74" s="113"/>
      <c r="J74" s="114"/>
    </row>
    <row r="75" spans="1:10" x14ac:dyDescent="0.2">
      <c r="A75" s="54"/>
      <c r="B75" s="72"/>
      <c r="C75" s="60"/>
      <c r="D75" s="60"/>
      <c r="E75" s="60"/>
      <c r="F75" s="60"/>
      <c r="G75" s="60"/>
      <c r="H75" s="60"/>
      <c r="I75" s="60"/>
      <c r="J75" s="56"/>
    </row>
    <row r="76" spans="1:10" x14ac:dyDescent="0.2">
      <c r="A76" s="111"/>
      <c r="B76" s="112"/>
      <c r="C76" s="113"/>
      <c r="D76" s="113"/>
      <c r="E76" s="113"/>
      <c r="F76" s="113"/>
      <c r="G76" s="113"/>
      <c r="H76" s="113"/>
      <c r="I76" s="113"/>
      <c r="J76" s="114"/>
    </row>
    <row r="77" spans="1:10" x14ac:dyDescent="0.2">
      <c r="A77" s="54"/>
      <c r="B77" s="72"/>
      <c r="C77" s="60"/>
      <c r="D77" s="60"/>
      <c r="E77" s="60"/>
      <c r="F77" s="60"/>
      <c r="G77" s="60"/>
      <c r="H77" s="60"/>
      <c r="I77" s="60"/>
      <c r="J77" s="56"/>
    </row>
    <row r="78" spans="1:10" x14ac:dyDescent="0.2">
      <c r="A78" s="57"/>
      <c r="B78" s="83"/>
      <c r="C78" s="58"/>
      <c r="D78" s="58"/>
      <c r="E78" s="58"/>
      <c r="F78" s="58"/>
      <c r="G78" s="58"/>
      <c r="H78" s="58"/>
      <c r="I78" s="58"/>
      <c r="J78" s="59"/>
    </row>
    <row r="79" spans="1:10" x14ac:dyDescent="0.2">
      <c r="A79" s="54"/>
      <c r="B79" s="72"/>
      <c r="C79" s="60"/>
      <c r="D79" s="60"/>
      <c r="E79" s="60"/>
      <c r="F79" s="60"/>
      <c r="G79" s="60"/>
      <c r="H79" s="60"/>
      <c r="I79" s="60"/>
      <c r="J79" s="56"/>
    </row>
    <row r="80" spans="1:10" x14ac:dyDescent="0.2">
      <c r="A80" s="57"/>
      <c r="B80" s="83"/>
      <c r="C80" s="58"/>
      <c r="D80" s="58"/>
      <c r="E80" s="58"/>
      <c r="F80" s="58"/>
      <c r="G80" s="58"/>
      <c r="H80" s="58"/>
      <c r="I80" s="58"/>
      <c r="J80" s="59"/>
    </row>
    <row r="81" spans="1:10" x14ac:dyDescent="0.2">
      <c r="A81" s="54"/>
      <c r="B81" s="72"/>
      <c r="C81" s="60"/>
      <c r="D81" s="60"/>
      <c r="E81" s="60"/>
      <c r="F81" s="60"/>
      <c r="G81" s="60"/>
      <c r="H81" s="60"/>
      <c r="I81" s="60"/>
      <c r="J81" s="56"/>
    </row>
    <row r="82" spans="1:10" x14ac:dyDescent="0.2">
      <c r="A82" s="57"/>
      <c r="B82" s="83"/>
      <c r="C82" s="58"/>
      <c r="D82" s="58"/>
      <c r="E82" s="58"/>
      <c r="F82" s="58"/>
      <c r="G82" s="58"/>
      <c r="H82" s="58"/>
      <c r="I82" s="58"/>
      <c r="J82" s="59"/>
    </row>
    <row r="83" spans="1:10" x14ac:dyDescent="0.2">
      <c r="A83" s="54"/>
      <c r="B83" s="72"/>
      <c r="C83" s="60"/>
      <c r="D83" s="60"/>
      <c r="E83" s="60"/>
      <c r="F83" s="60"/>
      <c r="G83" s="60"/>
      <c r="H83" s="60"/>
      <c r="I83" s="60"/>
      <c r="J83" s="56"/>
    </row>
    <row r="84" spans="1:10" x14ac:dyDescent="0.2">
      <c r="A84" s="57"/>
      <c r="B84" s="83"/>
      <c r="C84" s="58"/>
      <c r="D84" s="58"/>
      <c r="E84" s="58"/>
      <c r="F84" s="58"/>
      <c r="G84" s="58"/>
      <c r="H84" s="58"/>
      <c r="I84" s="58"/>
      <c r="J84" s="59"/>
    </row>
  </sheetData>
  <mergeCells count="117">
    <mergeCell ref="E1:G1"/>
    <mergeCell ref="E2:G2"/>
    <mergeCell ref="A3:A5"/>
    <mergeCell ref="B3:B5"/>
    <mergeCell ref="G3:G5"/>
    <mergeCell ref="H3:H5"/>
    <mergeCell ref="A15:A17"/>
    <mergeCell ref="B15:B17"/>
    <mergeCell ref="G15:G17"/>
    <mergeCell ref="H15:H17"/>
    <mergeCell ref="A2:B2"/>
    <mergeCell ref="I15:I17"/>
    <mergeCell ref="J15:J17"/>
    <mergeCell ref="I3:I5"/>
    <mergeCell ref="J3:J5"/>
    <mergeCell ref="A6:A8"/>
    <mergeCell ref="B6:B8"/>
    <mergeCell ref="G6:G8"/>
    <mergeCell ref="H6:H8"/>
    <mergeCell ref="I6:I8"/>
    <mergeCell ref="J6:J8"/>
    <mergeCell ref="H12:H14"/>
    <mergeCell ref="A9:A11"/>
    <mergeCell ref="I12:I14"/>
    <mergeCell ref="J12:J14"/>
    <mergeCell ref="J9:J11"/>
    <mergeCell ref="B9:B11"/>
    <mergeCell ref="I9:I11"/>
    <mergeCell ref="G9:G11"/>
    <mergeCell ref="H9:H11"/>
    <mergeCell ref="A12:A14"/>
    <mergeCell ref="B12:B14"/>
    <mergeCell ref="G12:G14"/>
    <mergeCell ref="A21:A22"/>
    <mergeCell ref="B21:B22"/>
    <mergeCell ref="G21:G22"/>
    <mergeCell ref="H21:H22"/>
    <mergeCell ref="I21:I22"/>
    <mergeCell ref="J21:J22"/>
    <mergeCell ref="A18:A20"/>
    <mergeCell ref="B18:B20"/>
    <mergeCell ref="G18:G20"/>
    <mergeCell ref="H18:H20"/>
    <mergeCell ref="I18:I20"/>
    <mergeCell ref="J18:J20"/>
    <mergeCell ref="A26:A27"/>
    <mergeCell ref="B26:B27"/>
    <mergeCell ref="G26:G27"/>
    <mergeCell ref="H26:H27"/>
    <mergeCell ref="I26:I27"/>
    <mergeCell ref="J26:J27"/>
    <mergeCell ref="A23:A25"/>
    <mergeCell ref="B23:B25"/>
    <mergeCell ref="G23:G25"/>
    <mergeCell ref="H23:H25"/>
    <mergeCell ref="I23:I25"/>
    <mergeCell ref="J23:J25"/>
    <mergeCell ref="A31:A32"/>
    <mergeCell ref="B31:B32"/>
    <mergeCell ref="G31:G32"/>
    <mergeCell ref="H31:H32"/>
    <mergeCell ref="I31:I32"/>
    <mergeCell ref="J31:J32"/>
    <mergeCell ref="A28:A30"/>
    <mergeCell ref="B28:B30"/>
    <mergeCell ref="G28:G29"/>
    <mergeCell ref="H28:H29"/>
    <mergeCell ref="I28:I29"/>
    <mergeCell ref="J28:J30"/>
    <mergeCell ref="A35:A36"/>
    <mergeCell ref="B35:B36"/>
    <mergeCell ref="G35:G36"/>
    <mergeCell ref="H35:H36"/>
    <mergeCell ref="I35:I36"/>
    <mergeCell ref="J35:J36"/>
    <mergeCell ref="A33:A34"/>
    <mergeCell ref="B33:B34"/>
    <mergeCell ref="G33:G34"/>
    <mergeCell ref="H33:H34"/>
    <mergeCell ref="I33:I34"/>
    <mergeCell ref="J33:J34"/>
    <mergeCell ref="A40:A42"/>
    <mergeCell ref="B40:B42"/>
    <mergeCell ref="G40:G42"/>
    <mergeCell ref="H40:H42"/>
    <mergeCell ref="I40:I42"/>
    <mergeCell ref="J40:J42"/>
    <mergeCell ref="A37:A39"/>
    <mergeCell ref="B37:B39"/>
    <mergeCell ref="G37:G39"/>
    <mergeCell ref="H37:H39"/>
    <mergeCell ref="I37:I39"/>
    <mergeCell ref="J37:J39"/>
    <mergeCell ref="A47:A48"/>
    <mergeCell ref="B47:B48"/>
    <mergeCell ref="G47:G48"/>
    <mergeCell ref="H47:H48"/>
    <mergeCell ref="I47:I48"/>
    <mergeCell ref="J47:J48"/>
    <mergeCell ref="A43:A45"/>
    <mergeCell ref="B43:B45"/>
    <mergeCell ref="G43:G45"/>
    <mergeCell ref="H43:H45"/>
    <mergeCell ref="I43:I45"/>
    <mergeCell ref="J43:J45"/>
    <mergeCell ref="A52:A54"/>
    <mergeCell ref="B52:B54"/>
    <mergeCell ref="G52:G54"/>
    <mergeCell ref="H52:H54"/>
    <mergeCell ref="I52:I54"/>
    <mergeCell ref="J52:J54"/>
    <mergeCell ref="A49:A51"/>
    <mergeCell ref="B49:B51"/>
    <mergeCell ref="G49:G51"/>
    <mergeCell ref="H49:H51"/>
    <mergeCell ref="I49:I51"/>
    <mergeCell ref="J49:J51"/>
  </mergeCells>
  <pageMargins left="0.7" right="0.7" top="0.75" bottom="0.75" header="0.3" footer="0.3"/>
  <pageSetup paperSize="9" scale="1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51791-831F-4796-B15A-AE0A1BB26E1E}">
  <dimension ref="A1:AA84"/>
  <sheetViews>
    <sheetView view="pageBreakPreview" topLeftCell="C2" zoomScale="90" zoomScaleNormal="70" zoomScaleSheetLayoutView="90" workbookViewId="0">
      <selection activeCell="J3" sqref="J3:J5"/>
    </sheetView>
  </sheetViews>
  <sheetFormatPr defaultColWidth="9.140625" defaultRowHeight="14.25" x14ac:dyDescent="0.2"/>
  <cols>
    <col min="1" max="1" width="7.7109375" style="88" customWidth="1"/>
    <col min="2" max="2" width="28.7109375" style="1" customWidth="1"/>
    <col min="3" max="3" width="23.42578125" style="1" customWidth="1"/>
    <col min="4" max="4" width="15.140625" style="1" customWidth="1"/>
    <col min="5" max="5" width="10.42578125" style="1" customWidth="1"/>
    <col min="6" max="7" width="5.7109375" style="1" customWidth="1"/>
    <col min="8" max="8" width="11.28515625" style="1" customWidth="1"/>
    <col min="9" max="9" width="16.7109375" style="92" customWidth="1"/>
    <col min="10" max="10" width="52.85546875" style="64" customWidth="1"/>
    <col min="11" max="11" width="43.5703125" style="71" customWidth="1"/>
    <col min="12" max="12" width="13.28515625" style="71" customWidth="1"/>
    <col min="13" max="13" width="16.28515625" style="1" customWidth="1"/>
    <col min="14" max="14" width="12.140625" style="1" customWidth="1"/>
    <col min="15" max="15" width="13.85546875" style="1" customWidth="1"/>
    <col min="16" max="16" width="18.140625" style="1" customWidth="1"/>
    <col min="17" max="17" width="23.28515625" style="1" customWidth="1"/>
    <col min="18" max="18" width="17.5703125" style="1" customWidth="1"/>
    <col min="19" max="19" width="21.140625" style="1" customWidth="1"/>
    <col min="20" max="20" width="27" style="1" customWidth="1"/>
    <col min="21" max="21" width="10.7109375" style="1" customWidth="1"/>
    <col min="22" max="22" width="12.7109375" style="1" customWidth="1"/>
    <col min="23" max="23" width="36" style="1" customWidth="1"/>
    <col min="24" max="24" width="20.28515625" style="1" customWidth="1"/>
    <col min="25" max="26" width="9.140625" style="1" customWidth="1"/>
    <col min="27" max="27" width="9.140625" style="1"/>
    <col min="28" max="28" width="9.140625" style="1" customWidth="1"/>
    <col min="29" max="16384" width="9.140625" style="1"/>
  </cols>
  <sheetData>
    <row r="1" spans="1:27" s="42" customFormat="1" ht="36" x14ac:dyDescent="0.2">
      <c r="A1" s="171" t="s">
        <v>817</v>
      </c>
      <c r="B1" s="158" t="s">
        <v>818</v>
      </c>
      <c r="C1" s="158" t="s">
        <v>819</v>
      </c>
      <c r="D1" s="158" t="s">
        <v>849</v>
      </c>
      <c r="E1" s="326" t="s">
        <v>820</v>
      </c>
      <c r="F1" s="327"/>
      <c r="G1" s="328"/>
      <c r="H1" s="158" t="s">
        <v>10</v>
      </c>
      <c r="I1" s="172" t="s">
        <v>821</v>
      </c>
      <c r="J1" s="173" t="s">
        <v>822</v>
      </c>
      <c r="K1" s="174" t="s">
        <v>959</v>
      </c>
      <c r="L1" s="159" t="s">
        <v>860</v>
      </c>
      <c r="P1" s="160"/>
      <c r="Q1" s="160"/>
      <c r="R1" s="160"/>
      <c r="S1" s="160"/>
      <c r="T1" s="160"/>
      <c r="U1" s="160"/>
      <c r="V1" s="160"/>
      <c r="W1" s="160"/>
      <c r="X1" s="160"/>
      <c r="Y1" s="175"/>
      <c r="Z1" s="175"/>
      <c r="AA1" s="175"/>
    </row>
    <row r="2" spans="1:27" ht="16.149999999999999" customHeight="1" x14ac:dyDescent="0.2">
      <c r="A2" s="329" t="s">
        <v>982</v>
      </c>
      <c r="B2" s="329"/>
      <c r="C2" s="120"/>
      <c r="D2" s="124" t="s">
        <v>885</v>
      </c>
      <c r="E2" s="290"/>
      <c r="F2" s="290"/>
      <c r="G2" s="290"/>
      <c r="H2" s="120"/>
      <c r="I2" s="176"/>
      <c r="J2" s="124"/>
      <c r="L2" s="177"/>
      <c r="R2" s="178"/>
      <c r="Y2" s="179"/>
      <c r="Z2" s="179"/>
      <c r="AA2" s="179"/>
    </row>
    <row r="3" spans="1:27" ht="22.9" customHeight="1" x14ac:dyDescent="0.2">
      <c r="A3" s="315">
        <v>455</v>
      </c>
      <c r="B3" s="306" t="s">
        <v>149</v>
      </c>
      <c r="C3" s="122" t="s">
        <v>984</v>
      </c>
      <c r="D3" s="123">
        <v>0.69</v>
      </c>
      <c r="E3" s="122">
        <v>0.67</v>
      </c>
      <c r="F3" s="122">
        <f>E3*D3</f>
        <v>0.46229999999999999</v>
      </c>
      <c r="G3" s="322">
        <f>F3+F4+F5</f>
        <v>0.63390000000000002</v>
      </c>
      <c r="H3" s="310">
        <f>G3</f>
        <v>0.63390000000000002</v>
      </c>
      <c r="I3" s="308" t="s">
        <v>971</v>
      </c>
      <c r="J3" s="282" t="s">
        <v>1240</v>
      </c>
      <c r="L3" s="177"/>
      <c r="R3" s="178"/>
      <c r="Y3" s="179"/>
      <c r="Z3" s="179"/>
      <c r="AA3" s="179"/>
    </row>
    <row r="4" spans="1:27" x14ac:dyDescent="0.2">
      <c r="A4" s="316"/>
      <c r="B4" s="323"/>
      <c r="C4" s="122" t="s">
        <v>963</v>
      </c>
      <c r="D4" s="123">
        <v>0.52</v>
      </c>
      <c r="E4" s="122">
        <v>0.33</v>
      </c>
      <c r="F4" s="122">
        <f t="shared" ref="F4" si="0">E4*D4</f>
        <v>0.1716</v>
      </c>
      <c r="G4" s="322"/>
      <c r="H4" s="310"/>
      <c r="I4" s="321"/>
      <c r="J4" s="282"/>
      <c r="K4" s="180"/>
      <c r="L4" s="177"/>
      <c r="R4" s="178"/>
      <c r="U4" s="38"/>
      <c r="Y4" s="179"/>
      <c r="Z4" s="179"/>
      <c r="AA4" s="179"/>
    </row>
    <row r="5" spans="1:27" x14ac:dyDescent="0.2">
      <c r="A5" s="317"/>
      <c r="B5" s="307"/>
      <c r="C5" s="122"/>
      <c r="D5" s="123"/>
      <c r="E5" s="122"/>
      <c r="F5" s="122">
        <f>E5*D5</f>
        <v>0</v>
      </c>
      <c r="G5" s="322"/>
      <c r="H5" s="310"/>
      <c r="I5" s="309"/>
      <c r="J5" s="282"/>
      <c r="L5" s="177"/>
      <c r="R5" s="178"/>
      <c r="U5" s="38"/>
      <c r="Y5" s="181"/>
      <c r="Z5" s="179"/>
      <c r="AA5" s="179"/>
    </row>
    <row r="6" spans="1:27" x14ac:dyDescent="0.2">
      <c r="A6" s="324">
        <v>618</v>
      </c>
      <c r="B6" s="312" t="s">
        <v>150</v>
      </c>
      <c r="C6" s="122" t="s">
        <v>987</v>
      </c>
      <c r="D6" s="123">
        <v>0.62</v>
      </c>
      <c r="E6" s="122">
        <v>0.67</v>
      </c>
      <c r="F6" s="122">
        <f>E6*D6</f>
        <v>0.41540000000000005</v>
      </c>
      <c r="G6" s="322">
        <f>F6+F7+F8</f>
        <v>0.56720000000000004</v>
      </c>
      <c r="H6" s="310">
        <v>0.55000000000000004</v>
      </c>
      <c r="I6" s="304" t="s">
        <v>1166</v>
      </c>
      <c r="J6" s="325" t="s">
        <v>1209</v>
      </c>
      <c r="L6" s="177"/>
      <c r="R6" s="178"/>
      <c r="U6" s="38"/>
      <c r="Y6" s="181"/>
      <c r="Z6" s="179"/>
      <c r="AA6" s="179"/>
    </row>
    <row r="7" spans="1:27" ht="24" x14ac:dyDescent="0.2">
      <c r="A7" s="324"/>
      <c r="B7" s="312"/>
      <c r="C7" s="122" t="s">
        <v>986</v>
      </c>
      <c r="D7" s="123">
        <v>0.46</v>
      </c>
      <c r="E7" s="122">
        <v>0.33</v>
      </c>
      <c r="F7" s="122">
        <f t="shared" ref="F7:F15" si="1">E7*D7</f>
        <v>0.15180000000000002</v>
      </c>
      <c r="G7" s="322"/>
      <c r="H7" s="310"/>
      <c r="I7" s="320"/>
      <c r="J7" s="325"/>
      <c r="L7" s="177"/>
      <c r="R7" s="178"/>
      <c r="U7" s="38"/>
      <c r="Y7" s="181"/>
      <c r="Z7" s="179"/>
      <c r="AA7" s="179"/>
    </row>
    <row r="8" spans="1:27" x14ac:dyDescent="0.25">
      <c r="A8" s="324"/>
      <c r="B8" s="312"/>
      <c r="C8" s="124"/>
      <c r="D8" s="125"/>
      <c r="E8" s="124"/>
      <c r="F8" s="122"/>
      <c r="G8" s="322"/>
      <c r="H8" s="310"/>
      <c r="I8" s="305"/>
      <c r="J8" s="325"/>
      <c r="L8" s="177"/>
      <c r="R8" s="178"/>
      <c r="U8" s="38"/>
    </row>
    <row r="9" spans="1:27" ht="24" x14ac:dyDescent="0.25">
      <c r="A9" s="315">
        <v>619</v>
      </c>
      <c r="B9" s="299" t="s">
        <v>983</v>
      </c>
      <c r="C9" s="124" t="s">
        <v>988</v>
      </c>
      <c r="D9" s="125">
        <v>1</v>
      </c>
      <c r="E9" s="124">
        <v>1</v>
      </c>
      <c r="F9" s="122">
        <f>E9*D9</f>
        <v>1</v>
      </c>
      <c r="G9" s="330">
        <f>F9+F10+F11</f>
        <v>1</v>
      </c>
      <c r="H9" s="308">
        <f>G9</f>
        <v>1</v>
      </c>
      <c r="I9" s="308">
        <v>1</v>
      </c>
      <c r="J9" s="306" t="s">
        <v>1210</v>
      </c>
      <c r="R9" s="178"/>
      <c r="U9" s="38"/>
    </row>
    <row r="10" spans="1:27" ht="15" customHeight="1" x14ac:dyDescent="0.25">
      <c r="A10" s="316"/>
      <c r="B10" s="300"/>
      <c r="C10" s="122"/>
      <c r="D10" s="125"/>
      <c r="E10" s="124"/>
      <c r="F10" s="122">
        <f>E10*D10</f>
        <v>0</v>
      </c>
      <c r="G10" s="331"/>
      <c r="H10" s="321"/>
      <c r="I10" s="321"/>
      <c r="J10" s="323"/>
      <c r="R10" s="178"/>
      <c r="U10" s="38"/>
    </row>
    <row r="11" spans="1:27" x14ac:dyDescent="0.25">
      <c r="A11" s="317"/>
      <c r="B11" s="301"/>
      <c r="C11" s="124"/>
      <c r="D11" s="125"/>
      <c r="E11" s="124"/>
      <c r="F11" s="122">
        <f t="shared" si="1"/>
        <v>0</v>
      </c>
      <c r="G11" s="332"/>
      <c r="H11" s="309"/>
      <c r="I11" s="309"/>
      <c r="J11" s="307"/>
      <c r="R11" s="178"/>
      <c r="U11" s="38"/>
    </row>
    <row r="12" spans="1:27" x14ac:dyDescent="0.25">
      <c r="A12" s="319">
        <v>668</v>
      </c>
      <c r="B12" s="312" t="s">
        <v>985</v>
      </c>
      <c r="C12" s="122" t="s">
        <v>989</v>
      </c>
      <c r="D12" s="123">
        <v>0.7</v>
      </c>
      <c r="E12" s="122">
        <v>0.55000000000000004</v>
      </c>
      <c r="F12" s="122">
        <f t="shared" si="1"/>
        <v>0.38500000000000001</v>
      </c>
      <c r="G12" s="322">
        <f>F12+F13+F14</f>
        <v>0.66490000000000005</v>
      </c>
      <c r="H12" s="308">
        <f>G12</f>
        <v>0.66490000000000005</v>
      </c>
      <c r="I12" s="304" t="s">
        <v>968</v>
      </c>
      <c r="J12" s="274" t="s">
        <v>1211</v>
      </c>
      <c r="N12" s="183"/>
      <c r="R12" s="178"/>
      <c r="U12" s="38"/>
    </row>
    <row r="13" spans="1:27" x14ac:dyDescent="0.25">
      <c r="A13" s="319"/>
      <c r="B13" s="312"/>
      <c r="C13" s="124" t="s">
        <v>990</v>
      </c>
      <c r="D13" s="123">
        <v>0.69</v>
      </c>
      <c r="E13" s="122">
        <v>0.27</v>
      </c>
      <c r="F13" s="122">
        <f t="shared" si="1"/>
        <v>0.18629999999999999</v>
      </c>
      <c r="G13" s="322"/>
      <c r="H13" s="321"/>
      <c r="I13" s="320"/>
      <c r="J13" s="275"/>
      <c r="N13" s="183"/>
      <c r="R13" s="178"/>
      <c r="U13" s="38"/>
    </row>
    <row r="14" spans="1:27" x14ac:dyDescent="0.25">
      <c r="A14" s="319"/>
      <c r="B14" s="312"/>
      <c r="C14" s="124" t="s">
        <v>991</v>
      </c>
      <c r="D14" s="123">
        <v>0.52</v>
      </c>
      <c r="E14" s="122">
        <v>0.18</v>
      </c>
      <c r="F14" s="122">
        <f t="shared" si="1"/>
        <v>9.3600000000000003E-2</v>
      </c>
      <c r="G14" s="322"/>
      <c r="H14" s="309"/>
      <c r="I14" s="305"/>
      <c r="J14" s="276"/>
      <c r="N14" s="183"/>
      <c r="R14" s="178"/>
      <c r="U14" s="38"/>
    </row>
    <row r="15" spans="1:27" x14ac:dyDescent="0.25">
      <c r="A15" s="318" t="s">
        <v>119</v>
      </c>
      <c r="B15" s="282" t="s">
        <v>153</v>
      </c>
      <c r="C15" s="274" t="s">
        <v>992</v>
      </c>
      <c r="D15" s="304">
        <v>0.77</v>
      </c>
      <c r="E15" s="124">
        <v>1</v>
      </c>
      <c r="F15" s="124">
        <f t="shared" si="1"/>
        <v>0.77</v>
      </c>
      <c r="G15" s="312">
        <f>F15</f>
        <v>0.77</v>
      </c>
      <c r="H15" s="311">
        <f>G15</f>
        <v>0.77</v>
      </c>
      <c r="I15" s="308">
        <v>0.4</v>
      </c>
      <c r="J15" s="282" t="s">
        <v>1212</v>
      </c>
      <c r="K15" s="185"/>
      <c r="N15" s="183"/>
      <c r="R15" s="178"/>
      <c r="U15" s="38"/>
    </row>
    <row r="16" spans="1:27" x14ac:dyDescent="0.25">
      <c r="A16" s="318"/>
      <c r="B16" s="282"/>
      <c r="C16" s="275"/>
      <c r="D16" s="320"/>
      <c r="E16" s="124"/>
      <c r="F16" s="124"/>
      <c r="G16" s="312"/>
      <c r="H16" s="311"/>
      <c r="I16" s="321"/>
      <c r="J16" s="282"/>
      <c r="K16" s="185"/>
      <c r="N16" s="183"/>
      <c r="R16" s="178"/>
      <c r="U16" s="38"/>
    </row>
    <row r="17" spans="1:23" x14ac:dyDescent="0.25">
      <c r="A17" s="318"/>
      <c r="B17" s="282"/>
      <c r="C17" s="276"/>
      <c r="D17" s="305"/>
      <c r="E17" s="122"/>
      <c r="F17" s="124"/>
      <c r="G17" s="312"/>
      <c r="H17" s="311"/>
      <c r="I17" s="309"/>
      <c r="J17" s="282"/>
    </row>
    <row r="18" spans="1:23" x14ac:dyDescent="0.25">
      <c r="A18" s="319">
        <v>1209</v>
      </c>
      <c r="B18" s="312" t="s">
        <v>993</v>
      </c>
      <c r="C18" s="122" t="s">
        <v>994</v>
      </c>
      <c r="D18" s="123">
        <v>0.81</v>
      </c>
      <c r="E18" s="122">
        <v>1</v>
      </c>
      <c r="F18" s="124">
        <f>E18*D18</f>
        <v>0.81</v>
      </c>
      <c r="G18" s="282">
        <f>F18</f>
        <v>0.81</v>
      </c>
      <c r="H18" s="310">
        <f>G18</f>
        <v>0.81</v>
      </c>
      <c r="I18" s="304">
        <v>0.8</v>
      </c>
      <c r="J18" s="312" t="s">
        <v>1213</v>
      </c>
    </row>
    <row r="19" spans="1:23" x14ac:dyDescent="0.25">
      <c r="A19" s="319"/>
      <c r="B19" s="312"/>
      <c r="C19" s="122"/>
      <c r="D19" s="123"/>
      <c r="E19" s="122"/>
      <c r="F19" s="122"/>
      <c r="G19" s="282"/>
      <c r="H19" s="310"/>
      <c r="I19" s="320"/>
      <c r="J19" s="312"/>
    </row>
    <row r="20" spans="1:23" x14ac:dyDescent="0.25">
      <c r="A20" s="319"/>
      <c r="B20" s="312"/>
      <c r="C20" s="124"/>
      <c r="D20" s="125"/>
      <c r="E20" s="124"/>
      <c r="F20" s="122"/>
      <c r="G20" s="282"/>
      <c r="H20" s="310"/>
      <c r="I20" s="305"/>
      <c r="J20" s="312"/>
      <c r="P20" s="38"/>
    </row>
    <row r="21" spans="1:23" x14ac:dyDescent="0.25">
      <c r="A21" s="318">
        <v>1595</v>
      </c>
      <c r="B21" s="282" t="s">
        <v>995</v>
      </c>
      <c r="C21" s="274" t="s">
        <v>996</v>
      </c>
      <c r="D21" s="125">
        <v>0.4</v>
      </c>
      <c r="E21" s="124">
        <v>1</v>
      </c>
      <c r="F21" s="124">
        <f>E21*D21</f>
        <v>0.4</v>
      </c>
      <c r="G21" s="312">
        <f>F21</f>
        <v>0.4</v>
      </c>
      <c r="H21" s="311">
        <f>G21</f>
        <v>0.4</v>
      </c>
      <c r="I21" s="308">
        <v>0.4</v>
      </c>
      <c r="J21" s="282" t="s">
        <v>1214</v>
      </c>
      <c r="P21" s="38"/>
    </row>
    <row r="22" spans="1:23" x14ac:dyDescent="0.25">
      <c r="A22" s="318"/>
      <c r="B22" s="282"/>
      <c r="C22" s="276"/>
      <c r="D22" s="125"/>
      <c r="E22" s="124"/>
      <c r="F22" s="124"/>
      <c r="G22" s="312"/>
      <c r="H22" s="311"/>
      <c r="I22" s="309"/>
      <c r="J22" s="282"/>
      <c r="P22" s="38"/>
    </row>
    <row r="23" spans="1:23" x14ac:dyDescent="0.25">
      <c r="A23" s="319">
        <v>1901</v>
      </c>
      <c r="B23" s="312" t="s">
        <v>156</v>
      </c>
      <c r="C23" s="122" t="s">
        <v>997</v>
      </c>
      <c r="D23" s="123">
        <v>0.69</v>
      </c>
      <c r="E23" s="122">
        <v>1</v>
      </c>
      <c r="F23" s="124">
        <f>E23*D23</f>
        <v>0.69</v>
      </c>
      <c r="G23" s="282">
        <f>F23</f>
        <v>0.69</v>
      </c>
      <c r="H23" s="310">
        <f>G23</f>
        <v>0.69</v>
      </c>
      <c r="I23" s="304">
        <v>0.75</v>
      </c>
      <c r="J23" s="312" t="s">
        <v>1215</v>
      </c>
    </row>
    <row r="24" spans="1:23" x14ac:dyDescent="0.25">
      <c r="A24" s="319"/>
      <c r="B24" s="312"/>
      <c r="C24" s="122"/>
      <c r="D24" s="123"/>
      <c r="E24" s="122"/>
      <c r="F24" s="122"/>
      <c r="G24" s="282"/>
      <c r="H24" s="310"/>
      <c r="I24" s="320"/>
      <c r="J24" s="312"/>
    </row>
    <row r="25" spans="1:23" ht="15" x14ac:dyDescent="0.25">
      <c r="A25" s="319"/>
      <c r="B25" s="312"/>
      <c r="C25" s="124"/>
      <c r="D25" s="125"/>
      <c r="E25" s="124"/>
      <c r="F25" s="122"/>
      <c r="G25" s="282"/>
      <c r="H25" s="310"/>
      <c r="I25" s="305"/>
      <c r="J25" s="312"/>
      <c r="Q25" s="44"/>
      <c r="T25" s="44"/>
      <c r="W25" s="44"/>
    </row>
    <row r="26" spans="1:23" ht="24" x14ac:dyDescent="0.25">
      <c r="A26" s="318" t="s">
        <v>999</v>
      </c>
      <c r="B26" s="282" t="s">
        <v>998</v>
      </c>
      <c r="C26" s="124" t="s">
        <v>1000</v>
      </c>
      <c r="D26" s="125">
        <v>1</v>
      </c>
      <c r="E26" s="124">
        <v>1</v>
      </c>
      <c r="F26" s="124">
        <f>E26*D26</f>
        <v>1</v>
      </c>
      <c r="G26" s="312">
        <f>F26</f>
        <v>1</v>
      </c>
      <c r="H26" s="311">
        <f>G26</f>
        <v>1</v>
      </c>
      <c r="I26" s="304">
        <v>1</v>
      </c>
      <c r="J26" s="282" t="s">
        <v>1216</v>
      </c>
      <c r="Q26" s="44"/>
      <c r="T26" s="44"/>
      <c r="W26" s="44"/>
    </row>
    <row r="27" spans="1:23" ht="15" x14ac:dyDescent="0.25">
      <c r="A27" s="318"/>
      <c r="B27" s="282"/>
      <c r="C27" s="2"/>
      <c r="D27" s="125"/>
      <c r="E27" s="124"/>
      <c r="F27" s="124"/>
      <c r="G27" s="312"/>
      <c r="H27" s="311"/>
      <c r="I27" s="305"/>
      <c r="J27" s="282"/>
      <c r="Q27" s="44"/>
      <c r="T27" s="44"/>
      <c r="W27" s="44"/>
    </row>
    <row r="28" spans="1:23" ht="15" x14ac:dyDescent="0.25">
      <c r="A28" s="319">
        <v>2533</v>
      </c>
      <c r="B28" s="312" t="s">
        <v>1001</v>
      </c>
      <c r="C28" s="124" t="s">
        <v>1002</v>
      </c>
      <c r="D28" s="123">
        <v>0.77</v>
      </c>
      <c r="E28" s="122">
        <v>1</v>
      </c>
      <c r="F28" s="124">
        <f>E28*D28</f>
        <v>0.77</v>
      </c>
      <c r="G28" s="282">
        <f>F28</f>
        <v>0.77</v>
      </c>
      <c r="H28" s="310">
        <f>G28</f>
        <v>0.77</v>
      </c>
      <c r="I28" s="308">
        <v>0.5</v>
      </c>
      <c r="J28" s="312" t="s">
        <v>1217</v>
      </c>
      <c r="Q28" s="44"/>
      <c r="T28" s="44"/>
      <c r="W28" s="44"/>
    </row>
    <row r="29" spans="1:23" ht="15" x14ac:dyDescent="0.25">
      <c r="A29" s="319"/>
      <c r="B29" s="312"/>
      <c r="C29" s="122"/>
      <c r="D29" s="123"/>
      <c r="E29" s="122"/>
      <c r="F29" s="122"/>
      <c r="G29" s="282"/>
      <c r="H29" s="310"/>
      <c r="I29" s="309"/>
      <c r="J29" s="312"/>
      <c r="Q29" s="44"/>
      <c r="T29" s="44"/>
      <c r="W29" s="44"/>
    </row>
    <row r="30" spans="1:23" ht="15" x14ac:dyDescent="0.25">
      <c r="A30" s="319"/>
      <c r="B30" s="312"/>
      <c r="C30" s="124"/>
      <c r="D30" s="125"/>
      <c r="E30" s="124"/>
      <c r="F30" s="124"/>
      <c r="G30" s="124"/>
      <c r="H30" s="124"/>
      <c r="I30" s="125"/>
      <c r="J30" s="312"/>
      <c r="Q30" s="44"/>
      <c r="T30" s="44"/>
      <c r="W30" s="44"/>
    </row>
    <row r="31" spans="1:23" ht="15" x14ac:dyDescent="0.25">
      <c r="A31" s="318">
        <v>3287</v>
      </c>
      <c r="B31" s="282" t="s">
        <v>1003</v>
      </c>
      <c r="C31" s="124" t="s">
        <v>1004</v>
      </c>
      <c r="D31" s="125">
        <v>0.69</v>
      </c>
      <c r="E31" s="124">
        <v>0.67</v>
      </c>
      <c r="F31" s="124">
        <f>E31*D31</f>
        <v>0.46229999999999999</v>
      </c>
      <c r="G31" s="312">
        <f>F31+F32</f>
        <v>0.69989999999999997</v>
      </c>
      <c r="H31" s="311">
        <f>G31</f>
        <v>0.69989999999999997</v>
      </c>
      <c r="I31" s="304">
        <v>0.9</v>
      </c>
      <c r="J31" s="282" t="s">
        <v>1218</v>
      </c>
      <c r="Q31" s="44"/>
      <c r="T31" s="44"/>
      <c r="W31" s="44"/>
    </row>
    <row r="32" spans="1:23" ht="15" x14ac:dyDescent="0.25">
      <c r="A32" s="318"/>
      <c r="B32" s="282"/>
      <c r="C32" s="124" t="s">
        <v>1005</v>
      </c>
      <c r="D32" s="125">
        <v>0.72</v>
      </c>
      <c r="E32" s="124">
        <v>0.33</v>
      </c>
      <c r="F32" s="124">
        <f>E32*D32</f>
        <v>0.23760000000000001</v>
      </c>
      <c r="G32" s="312"/>
      <c r="H32" s="311"/>
      <c r="I32" s="305"/>
      <c r="J32" s="282"/>
      <c r="Q32" s="44"/>
      <c r="T32" s="44"/>
      <c r="W32" s="44"/>
    </row>
    <row r="33" spans="1:23" ht="24" x14ac:dyDescent="0.25">
      <c r="A33" s="319" t="s">
        <v>1006</v>
      </c>
      <c r="B33" s="312" t="s">
        <v>1007</v>
      </c>
      <c r="C33" s="122" t="s">
        <v>1008</v>
      </c>
      <c r="D33" s="123">
        <v>0.66</v>
      </c>
      <c r="E33" s="122">
        <v>0.67</v>
      </c>
      <c r="F33" s="124">
        <f>E33*D33</f>
        <v>0.44220000000000004</v>
      </c>
      <c r="G33" s="282">
        <f>F33+F34</f>
        <v>0.61380000000000001</v>
      </c>
      <c r="H33" s="310">
        <f>G33</f>
        <v>0.61380000000000001</v>
      </c>
      <c r="I33" s="308">
        <v>0.7</v>
      </c>
      <c r="J33" s="312" t="s">
        <v>1221</v>
      </c>
      <c r="Q33" s="44"/>
      <c r="T33" s="44"/>
      <c r="W33" s="44"/>
    </row>
    <row r="34" spans="1:23" ht="15" x14ac:dyDescent="0.25">
      <c r="A34" s="319"/>
      <c r="B34" s="312"/>
      <c r="C34" s="122" t="s">
        <v>991</v>
      </c>
      <c r="D34" s="123">
        <v>0.52</v>
      </c>
      <c r="E34" s="122">
        <v>0.33</v>
      </c>
      <c r="F34" s="124">
        <f>E34*D34</f>
        <v>0.1716</v>
      </c>
      <c r="G34" s="282"/>
      <c r="H34" s="310"/>
      <c r="I34" s="309"/>
      <c r="J34" s="312"/>
      <c r="Q34" s="44"/>
      <c r="T34" s="44"/>
      <c r="W34" s="44"/>
    </row>
    <row r="35" spans="1:23" ht="24" x14ac:dyDescent="0.25">
      <c r="A35" s="318" t="s">
        <v>1010</v>
      </c>
      <c r="B35" s="282" t="s">
        <v>1009</v>
      </c>
      <c r="C35" s="124" t="s">
        <v>1011</v>
      </c>
      <c r="D35" s="125">
        <v>0.4</v>
      </c>
      <c r="E35" s="124">
        <v>1</v>
      </c>
      <c r="F35" s="124">
        <f>E35*D35</f>
        <v>0.4</v>
      </c>
      <c r="G35" s="312">
        <f>F35</f>
        <v>0.4</v>
      </c>
      <c r="H35" s="311">
        <f>G35</f>
        <v>0.4</v>
      </c>
      <c r="I35" s="304">
        <v>0.2</v>
      </c>
      <c r="J35" s="282" t="s">
        <v>1219</v>
      </c>
      <c r="P35" s="44"/>
      <c r="Q35" s="44"/>
      <c r="T35" s="44"/>
      <c r="W35" s="44"/>
    </row>
    <row r="36" spans="1:23" ht="15" x14ac:dyDescent="0.25">
      <c r="A36" s="318"/>
      <c r="B36" s="282"/>
      <c r="C36" s="124"/>
      <c r="D36" s="125"/>
      <c r="E36" s="124"/>
      <c r="F36" s="124"/>
      <c r="G36" s="312"/>
      <c r="H36" s="311"/>
      <c r="I36" s="305"/>
      <c r="J36" s="282"/>
      <c r="P36" s="44"/>
      <c r="Q36" s="44"/>
      <c r="T36" s="44"/>
      <c r="W36" s="44"/>
    </row>
    <row r="37" spans="1:23" ht="15" x14ac:dyDescent="0.25">
      <c r="A37" s="319" t="s">
        <v>1013</v>
      </c>
      <c r="B37" s="312" t="s">
        <v>1012</v>
      </c>
      <c r="C37" s="122" t="s">
        <v>994</v>
      </c>
      <c r="D37" s="123">
        <v>0.81</v>
      </c>
      <c r="E37" s="122">
        <v>1</v>
      </c>
      <c r="F37" s="124">
        <f>E37*D37</f>
        <v>0.81</v>
      </c>
      <c r="G37" s="282">
        <f>F37</f>
        <v>0.81</v>
      </c>
      <c r="H37" s="310">
        <f>G37</f>
        <v>0.81</v>
      </c>
      <c r="I37" s="311">
        <v>0.85</v>
      </c>
      <c r="J37" s="312" t="s">
        <v>1220</v>
      </c>
      <c r="Q37" s="44"/>
      <c r="T37" s="44"/>
      <c r="W37" s="44"/>
    </row>
    <row r="38" spans="1:23" ht="15" x14ac:dyDescent="0.25">
      <c r="A38" s="319"/>
      <c r="B38" s="312"/>
      <c r="C38" s="122"/>
      <c r="D38" s="123"/>
      <c r="E38" s="122"/>
      <c r="F38" s="122"/>
      <c r="G38" s="282"/>
      <c r="H38" s="310"/>
      <c r="I38" s="311"/>
      <c r="J38" s="312"/>
      <c r="Q38" s="44"/>
      <c r="T38" s="44"/>
      <c r="W38" s="44"/>
    </row>
    <row r="39" spans="1:23" ht="15" x14ac:dyDescent="0.25">
      <c r="A39" s="319"/>
      <c r="B39" s="312"/>
      <c r="C39" s="124"/>
      <c r="D39" s="125"/>
      <c r="E39" s="124"/>
      <c r="F39" s="122"/>
      <c r="G39" s="282"/>
      <c r="H39" s="310"/>
      <c r="I39" s="311"/>
      <c r="J39" s="312"/>
      <c r="Q39" s="44"/>
      <c r="T39" s="44"/>
      <c r="W39" s="44"/>
    </row>
    <row r="40" spans="1:23" ht="34.9" customHeight="1" x14ac:dyDescent="0.25">
      <c r="A40" s="318" t="s">
        <v>1016</v>
      </c>
      <c r="B40" s="282" t="s">
        <v>1015</v>
      </c>
      <c r="C40" s="124" t="s">
        <v>1002</v>
      </c>
      <c r="D40" s="125">
        <v>0.77</v>
      </c>
      <c r="E40" s="124">
        <v>1</v>
      </c>
      <c r="F40" s="124">
        <f>E40*D40</f>
        <v>0.77</v>
      </c>
      <c r="G40" s="312">
        <f>F40</f>
        <v>0.77</v>
      </c>
      <c r="H40" s="311">
        <f>G40</f>
        <v>0.77</v>
      </c>
      <c r="I40" s="310">
        <v>0.3</v>
      </c>
      <c r="J40" s="282" t="s">
        <v>1222</v>
      </c>
      <c r="Q40" s="44"/>
      <c r="T40" s="44"/>
      <c r="W40" s="44"/>
    </row>
    <row r="41" spans="1:23" ht="15" x14ac:dyDescent="0.25">
      <c r="A41" s="318"/>
      <c r="B41" s="282"/>
      <c r="C41" s="124"/>
      <c r="D41" s="125"/>
      <c r="E41" s="124"/>
      <c r="F41" s="124"/>
      <c r="G41" s="312"/>
      <c r="H41" s="311"/>
      <c r="I41" s="310"/>
      <c r="J41" s="282"/>
      <c r="Q41" s="44"/>
      <c r="T41" s="44"/>
      <c r="W41" s="44"/>
    </row>
    <row r="42" spans="1:23" ht="15" x14ac:dyDescent="0.25">
      <c r="A42" s="318"/>
      <c r="B42" s="282"/>
      <c r="C42" s="122"/>
      <c r="D42" s="123"/>
      <c r="E42" s="122"/>
      <c r="F42" s="124"/>
      <c r="G42" s="312"/>
      <c r="H42" s="311"/>
      <c r="I42" s="310"/>
      <c r="J42" s="282"/>
      <c r="Q42" s="44"/>
      <c r="T42" s="44"/>
      <c r="W42" s="44"/>
    </row>
    <row r="43" spans="1:23" ht="15" x14ac:dyDescent="0.25">
      <c r="A43" s="313" t="s">
        <v>1018</v>
      </c>
      <c r="B43" s="312" t="s">
        <v>1017</v>
      </c>
      <c r="C43" s="122" t="s">
        <v>1019</v>
      </c>
      <c r="D43" s="123">
        <v>0.69</v>
      </c>
      <c r="E43" s="122">
        <v>0.67</v>
      </c>
      <c r="F43" s="124">
        <f>E43*D43</f>
        <v>0.46229999999999999</v>
      </c>
      <c r="G43" s="282">
        <f>F43+F44</f>
        <v>0.68010000000000004</v>
      </c>
      <c r="H43" s="310">
        <f>G43</f>
        <v>0.68010000000000004</v>
      </c>
      <c r="I43" s="311">
        <v>0.85</v>
      </c>
      <c r="J43" s="312" t="s">
        <v>1223</v>
      </c>
      <c r="Q43" s="44"/>
      <c r="T43" s="44"/>
      <c r="W43" s="44"/>
    </row>
    <row r="44" spans="1:23" ht="24" x14ac:dyDescent="0.25">
      <c r="A44" s="314"/>
      <c r="B44" s="312"/>
      <c r="C44" s="122" t="s">
        <v>1020</v>
      </c>
      <c r="D44" s="123">
        <v>0.66</v>
      </c>
      <c r="E44" s="122">
        <v>0.33</v>
      </c>
      <c r="F44" s="124">
        <f>E44*D44</f>
        <v>0.21780000000000002</v>
      </c>
      <c r="G44" s="282"/>
      <c r="H44" s="310"/>
      <c r="I44" s="311"/>
      <c r="J44" s="312"/>
      <c r="Q44" s="44"/>
      <c r="T44" s="44"/>
      <c r="W44" s="44"/>
    </row>
    <row r="45" spans="1:23" ht="15" x14ac:dyDescent="0.2">
      <c r="A45" s="184" t="s">
        <v>1022</v>
      </c>
      <c r="B45" s="122" t="s">
        <v>1021</v>
      </c>
      <c r="C45" s="124" t="s">
        <v>1023</v>
      </c>
      <c r="D45" s="125">
        <v>0.4</v>
      </c>
      <c r="E45" s="124">
        <v>1</v>
      </c>
      <c r="F45" s="124">
        <f>E45*D45</f>
        <v>0.4</v>
      </c>
      <c r="G45" s="125">
        <f>F45</f>
        <v>0.4</v>
      </c>
      <c r="H45" s="125">
        <f>G45</f>
        <v>0.4</v>
      </c>
      <c r="I45" s="125">
        <v>0.4</v>
      </c>
      <c r="J45" s="122" t="s">
        <v>1224</v>
      </c>
      <c r="Q45" s="44"/>
      <c r="T45" s="44"/>
      <c r="W45" s="44"/>
    </row>
    <row r="46" spans="1:23" ht="24" x14ac:dyDescent="0.25">
      <c r="A46" s="315" t="s">
        <v>1027</v>
      </c>
      <c r="B46" s="282" t="s">
        <v>1026</v>
      </c>
      <c r="C46" s="124" t="s">
        <v>1024</v>
      </c>
      <c r="D46" s="125">
        <v>0.69</v>
      </c>
      <c r="E46" s="124">
        <v>0.67</v>
      </c>
      <c r="F46" s="124">
        <f>E46*D46</f>
        <v>0.46229999999999999</v>
      </c>
      <c r="G46" s="312">
        <f>F46+F47</f>
        <v>0.66359999999999997</v>
      </c>
      <c r="H46" s="311">
        <f>G46</f>
        <v>0.66359999999999997</v>
      </c>
      <c r="I46" s="310">
        <v>0.7</v>
      </c>
      <c r="J46" s="282" t="s">
        <v>1225</v>
      </c>
      <c r="Q46" s="44"/>
      <c r="T46" s="44"/>
      <c r="W46" s="44"/>
    </row>
    <row r="47" spans="1:23" ht="15" x14ac:dyDescent="0.25">
      <c r="A47" s="316"/>
      <c r="B47" s="282"/>
      <c r="C47" s="124" t="s">
        <v>1025</v>
      </c>
      <c r="D47" s="125">
        <v>0.61</v>
      </c>
      <c r="E47" s="124">
        <v>0.33</v>
      </c>
      <c r="F47" s="124">
        <f>E47*D47</f>
        <v>0.20130000000000001</v>
      </c>
      <c r="G47" s="312"/>
      <c r="H47" s="311"/>
      <c r="I47" s="310"/>
      <c r="J47" s="282"/>
      <c r="Q47" s="44"/>
      <c r="T47" s="44"/>
      <c r="W47" s="44"/>
    </row>
    <row r="48" spans="1:23" x14ac:dyDescent="0.25">
      <c r="A48" s="317"/>
      <c r="B48" s="282"/>
      <c r="C48" s="122"/>
      <c r="D48" s="123"/>
      <c r="E48" s="122"/>
      <c r="F48" s="124"/>
      <c r="G48" s="312"/>
      <c r="H48" s="311"/>
      <c r="I48" s="310"/>
      <c r="J48" s="282"/>
    </row>
    <row r="49" spans="1:10" x14ac:dyDescent="0.25">
      <c r="A49" s="313" t="s">
        <v>1029</v>
      </c>
      <c r="B49" s="274" t="s">
        <v>1028</v>
      </c>
      <c r="C49" s="122" t="s">
        <v>1030</v>
      </c>
      <c r="D49" s="123">
        <v>0.66</v>
      </c>
      <c r="E49" s="122">
        <v>0.67</v>
      </c>
      <c r="F49" s="124">
        <f t="shared" ref="F49:F55" si="2">E49*D49</f>
        <v>0.44220000000000004</v>
      </c>
      <c r="G49" s="282">
        <f>F49+F50</f>
        <v>0.66</v>
      </c>
      <c r="H49" s="310">
        <f>G49</f>
        <v>0.66</v>
      </c>
      <c r="I49" s="311">
        <v>0.6</v>
      </c>
      <c r="J49" s="312" t="s">
        <v>1226</v>
      </c>
    </row>
    <row r="50" spans="1:10" x14ac:dyDescent="0.25">
      <c r="A50" s="314"/>
      <c r="B50" s="276"/>
      <c r="C50" s="122" t="s">
        <v>1069</v>
      </c>
      <c r="D50" s="123">
        <v>0.66</v>
      </c>
      <c r="E50" s="122">
        <v>0.33</v>
      </c>
      <c r="F50" s="124">
        <f t="shared" si="2"/>
        <v>0.21780000000000002</v>
      </c>
      <c r="G50" s="282"/>
      <c r="H50" s="310"/>
      <c r="I50" s="311"/>
      <c r="J50" s="312"/>
    </row>
    <row r="51" spans="1:10" x14ac:dyDescent="0.25">
      <c r="A51" s="318" t="s">
        <v>1031</v>
      </c>
      <c r="B51" s="282" t="s">
        <v>1067</v>
      </c>
      <c r="C51" s="124" t="s">
        <v>1068</v>
      </c>
      <c r="D51" s="125">
        <v>0.4</v>
      </c>
      <c r="E51" s="124">
        <v>0.67</v>
      </c>
      <c r="F51" s="124">
        <f t="shared" si="2"/>
        <v>0.26800000000000002</v>
      </c>
      <c r="G51" s="274">
        <f>F51+F51</f>
        <v>0.53600000000000003</v>
      </c>
      <c r="H51" s="304">
        <f>G51</f>
        <v>0.53600000000000003</v>
      </c>
      <c r="I51" s="304">
        <v>0.6</v>
      </c>
      <c r="J51" s="306" t="s">
        <v>1227</v>
      </c>
    </row>
    <row r="52" spans="1:10" x14ac:dyDescent="0.25">
      <c r="A52" s="318"/>
      <c r="B52" s="282"/>
      <c r="C52" s="124" t="s">
        <v>1032</v>
      </c>
      <c r="D52" s="125">
        <v>0.46</v>
      </c>
      <c r="E52" s="124">
        <v>0.33</v>
      </c>
      <c r="F52" s="124">
        <f t="shared" si="2"/>
        <v>0.15180000000000002</v>
      </c>
      <c r="G52" s="276"/>
      <c r="H52" s="305"/>
      <c r="I52" s="305"/>
      <c r="J52" s="307"/>
    </row>
    <row r="53" spans="1:10" ht="24" x14ac:dyDescent="0.25">
      <c r="A53" s="122" t="s">
        <v>1034</v>
      </c>
      <c r="B53" s="122" t="s">
        <v>1033</v>
      </c>
      <c r="C53" s="122" t="s">
        <v>1002</v>
      </c>
      <c r="D53" s="123">
        <v>0.77</v>
      </c>
      <c r="E53" s="122">
        <v>1</v>
      </c>
      <c r="F53" s="124">
        <f t="shared" si="2"/>
        <v>0.77</v>
      </c>
      <c r="G53" s="122">
        <f>F53</f>
        <v>0.77</v>
      </c>
      <c r="H53" s="123">
        <f>G53</f>
        <v>0.77</v>
      </c>
      <c r="I53" s="123">
        <v>0.55000000000000004</v>
      </c>
      <c r="J53" s="122" t="s">
        <v>1228</v>
      </c>
    </row>
    <row r="54" spans="1:10" ht="24" x14ac:dyDescent="0.25">
      <c r="A54" s="122" t="s">
        <v>1066</v>
      </c>
      <c r="B54" s="122" t="s">
        <v>1065</v>
      </c>
      <c r="C54" s="122" t="s">
        <v>1035</v>
      </c>
      <c r="D54" s="125">
        <v>1</v>
      </c>
      <c r="E54" s="122">
        <v>1</v>
      </c>
      <c r="F54" s="124">
        <f t="shared" si="2"/>
        <v>1</v>
      </c>
      <c r="G54" s="122">
        <f>F54</f>
        <v>1</v>
      </c>
      <c r="H54" s="123">
        <f>G54</f>
        <v>1</v>
      </c>
      <c r="I54" s="123">
        <v>1</v>
      </c>
      <c r="J54" s="122" t="s">
        <v>1229</v>
      </c>
    </row>
    <row r="55" spans="1:10" ht="24" x14ac:dyDescent="0.25">
      <c r="A55" s="318" t="s">
        <v>1037</v>
      </c>
      <c r="B55" s="282" t="s">
        <v>1036</v>
      </c>
      <c r="C55" s="122" t="s">
        <v>1038</v>
      </c>
      <c r="D55" s="123">
        <v>0.66</v>
      </c>
      <c r="E55" s="122">
        <v>0.67</v>
      </c>
      <c r="F55" s="124">
        <f t="shared" si="2"/>
        <v>0.44220000000000004</v>
      </c>
      <c r="G55" s="306">
        <f>F55+F56</f>
        <v>0.59400000000000008</v>
      </c>
      <c r="H55" s="308">
        <f>G55</f>
        <v>0.59400000000000008</v>
      </c>
      <c r="I55" s="308">
        <v>0.9</v>
      </c>
      <c r="J55" s="306" t="s">
        <v>1230</v>
      </c>
    </row>
    <row r="56" spans="1:10" x14ac:dyDescent="0.25">
      <c r="A56" s="318"/>
      <c r="B56" s="282"/>
      <c r="C56" s="122" t="s">
        <v>1032</v>
      </c>
      <c r="D56" s="123">
        <v>0.46</v>
      </c>
      <c r="E56" s="122">
        <v>0.33</v>
      </c>
      <c r="F56" s="124">
        <f t="shared" ref="F56:F58" si="3">E56*D56</f>
        <v>0.15180000000000002</v>
      </c>
      <c r="G56" s="307"/>
      <c r="H56" s="309"/>
      <c r="I56" s="309"/>
      <c r="J56" s="307"/>
    </row>
    <row r="57" spans="1:10" ht="22.9" customHeight="1" x14ac:dyDescent="0.25">
      <c r="A57" s="319" t="s">
        <v>1040</v>
      </c>
      <c r="B57" s="312" t="s">
        <v>1039</v>
      </c>
      <c r="C57" s="124" t="s">
        <v>1041</v>
      </c>
      <c r="D57" s="125">
        <v>0.62</v>
      </c>
      <c r="E57" s="124">
        <v>0.67</v>
      </c>
      <c r="F57" s="124">
        <f t="shared" si="3"/>
        <v>0.41540000000000005</v>
      </c>
      <c r="G57" s="274">
        <f>F57+F58</f>
        <v>0.58700000000000008</v>
      </c>
      <c r="H57" s="304">
        <f>G57</f>
        <v>0.58700000000000008</v>
      </c>
      <c r="I57" s="304">
        <v>0.9</v>
      </c>
      <c r="J57" s="274" t="s">
        <v>1231</v>
      </c>
    </row>
    <row r="58" spans="1:10" x14ac:dyDescent="0.25">
      <c r="A58" s="319"/>
      <c r="B58" s="312"/>
      <c r="C58" s="124" t="s">
        <v>991</v>
      </c>
      <c r="D58" s="125">
        <v>0.52</v>
      </c>
      <c r="E58" s="124">
        <v>0.33</v>
      </c>
      <c r="F58" s="124">
        <f t="shared" si="3"/>
        <v>0.1716</v>
      </c>
      <c r="G58" s="276"/>
      <c r="H58" s="305"/>
      <c r="I58" s="305"/>
      <c r="J58" s="276"/>
    </row>
    <row r="59" spans="1:10" ht="24" x14ac:dyDescent="0.2">
      <c r="A59" s="184" t="s">
        <v>1043</v>
      </c>
      <c r="B59" s="124" t="s">
        <v>1042</v>
      </c>
      <c r="C59" s="122" t="s">
        <v>1056</v>
      </c>
      <c r="D59" s="123">
        <v>0.66</v>
      </c>
      <c r="E59" s="122">
        <v>1</v>
      </c>
      <c r="F59" s="124">
        <f>E59*D59</f>
        <v>0.66</v>
      </c>
      <c r="G59" s="122">
        <f>F59</f>
        <v>0.66</v>
      </c>
      <c r="H59" s="123">
        <f>G59</f>
        <v>0.66</v>
      </c>
      <c r="I59" s="123">
        <v>0.66</v>
      </c>
      <c r="J59" s="122" t="s">
        <v>1232</v>
      </c>
    </row>
    <row r="60" spans="1:10" ht="24" x14ac:dyDescent="0.25">
      <c r="A60" s="313" t="s">
        <v>1045</v>
      </c>
      <c r="B60" s="306" t="s">
        <v>1044</v>
      </c>
      <c r="C60" s="124" t="s">
        <v>1057</v>
      </c>
      <c r="D60" s="125">
        <v>0.77</v>
      </c>
      <c r="E60" s="124">
        <v>1</v>
      </c>
      <c r="F60" s="124">
        <v>0.67</v>
      </c>
      <c r="G60" s="274">
        <f>F60+F61</f>
        <v>1</v>
      </c>
      <c r="H60" s="304">
        <f>G60</f>
        <v>1</v>
      </c>
      <c r="I60" s="308">
        <v>1</v>
      </c>
      <c r="J60" s="304" t="s">
        <v>1070</v>
      </c>
    </row>
    <row r="61" spans="1:10" x14ac:dyDescent="0.25">
      <c r="A61" s="314"/>
      <c r="B61" s="307"/>
      <c r="C61" s="124" t="s">
        <v>1002</v>
      </c>
      <c r="D61" s="125">
        <v>0.77</v>
      </c>
      <c r="E61" s="124">
        <v>1</v>
      </c>
      <c r="F61" s="124">
        <v>0.33</v>
      </c>
      <c r="G61" s="276"/>
      <c r="H61" s="305"/>
      <c r="I61" s="309"/>
      <c r="J61" s="305"/>
    </row>
    <row r="62" spans="1:10" x14ac:dyDescent="0.2">
      <c r="A62" s="184" t="s">
        <v>1047</v>
      </c>
      <c r="B62" s="122" t="s">
        <v>1046</v>
      </c>
      <c r="C62" s="122" t="s">
        <v>1023</v>
      </c>
      <c r="D62" s="123">
        <v>0.4</v>
      </c>
      <c r="E62" s="122">
        <v>1</v>
      </c>
      <c r="F62" s="124">
        <f>E62*D62</f>
        <v>0.4</v>
      </c>
      <c r="G62" s="122">
        <f>F62</f>
        <v>0.4</v>
      </c>
      <c r="H62" s="123">
        <f>G62</f>
        <v>0.4</v>
      </c>
      <c r="I62" s="123">
        <v>0.4</v>
      </c>
      <c r="J62" s="122" t="s">
        <v>1131</v>
      </c>
    </row>
    <row r="63" spans="1:10" x14ac:dyDescent="0.25">
      <c r="A63" s="313">
        <v>9368</v>
      </c>
      <c r="B63" s="274" t="s">
        <v>1014</v>
      </c>
      <c r="C63" s="124" t="s">
        <v>994</v>
      </c>
      <c r="D63" s="125">
        <v>0.81</v>
      </c>
      <c r="E63" s="124">
        <v>0.67</v>
      </c>
      <c r="F63" s="124">
        <f t="shared" ref="F63:F66" si="4">E63*D63</f>
        <v>0.54270000000000007</v>
      </c>
      <c r="G63" s="274">
        <f>F63+F64</f>
        <v>0.77040000000000008</v>
      </c>
      <c r="H63" s="308">
        <f>G63</f>
        <v>0.77040000000000008</v>
      </c>
      <c r="I63" s="304">
        <v>0.85</v>
      </c>
      <c r="J63" s="274" t="s">
        <v>1233</v>
      </c>
    </row>
    <row r="64" spans="1:10" x14ac:dyDescent="0.25">
      <c r="A64" s="314"/>
      <c r="B64" s="276"/>
      <c r="C64" s="124" t="s">
        <v>997</v>
      </c>
      <c r="D64" s="125">
        <v>0.69</v>
      </c>
      <c r="E64" s="124">
        <v>0.33</v>
      </c>
      <c r="F64" s="124">
        <f t="shared" si="4"/>
        <v>0.22769999999999999</v>
      </c>
      <c r="G64" s="276"/>
      <c r="H64" s="309"/>
      <c r="I64" s="305"/>
      <c r="J64" s="276"/>
    </row>
    <row r="65" spans="1:10" x14ac:dyDescent="0.25">
      <c r="A65" s="315">
        <v>9913</v>
      </c>
      <c r="B65" s="306" t="s">
        <v>1048</v>
      </c>
      <c r="C65" s="122" t="s">
        <v>1032</v>
      </c>
      <c r="D65" s="123">
        <v>0.46</v>
      </c>
      <c r="E65" s="122">
        <v>0.67</v>
      </c>
      <c r="F65" s="124">
        <f t="shared" si="4"/>
        <v>0.30820000000000003</v>
      </c>
      <c r="G65" s="306">
        <f>F65+F66</f>
        <v>0.53590000000000004</v>
      </c>
      <c r="H65" s="308">
        <f>G65</f>
        <v>0.53590000000000004</v>
      </c>
      <c r="I65" s="308">
        <v>0.7</v>
      </c>
      <c r="J65" s="306" t="s">
        <v>1234</v>
      </c>
    </row>
    <row r="66" spans="1:10" x14ac:dyDescent="0.25">
      <c r="A66" s="317"/>
      <c r="B66" s="307"/>
      <c r="C66" s="122" t="s">
        <v>1058</v>
      </c>
      <c r="D66" s="123">
        <v>0.69</v>
      </c>
      <c r="E66" s="122">
        <v>0.33</v>
      </c>
      <c r="F66" s="124">
        <f t="shared" si="4"/>
        <v>0.22769999999999999</v>
      </c>
      <c r="G66" s="307"/>
      <c r="H66" s="309"/>
      <c r="I66" s="309"/>
      <c r="J66" s="307"/>
    </row>
    <row r="67" spans="1:10" ht="24" x14ac:dyDescent="0.2">
      <c r="A67" s="182" t="s">
        <v>1050</v>
      </c>
      <c r="B67" s="124" t="s">
        <v>1049</v>
      </c>
      <c r="C67" s="124" t="s">
        <v>988</v>
      </c>
      <c r="D67" s="125">
        <v>1</v>
      </c>
      <c r="E67" s="124">
        <v>1</v>
      </c>
      <c r="F67" s="124">
        <f>E67*D67</f>
        <v>1</v>
      </c>
      <c r="G67" s="124">
        <f>F67</f>
        <v>1</v>
      </c>
      <c r="H67" s="125">
        <f>G67</f>
        <v>1</v>
      </c>
      <c r="I67" s="125">
        <v>1</v>
      </c>
      <c r="J67" s="124" t="s">
        <v>1235</v>
      </c>
    </row>
    <row r="68" spans="1:10" ht="24" x14ac:dyDescent="0.2">
      <c r="A68" s="184" t="s">
        <v>1052</v>
      </c>
      <c r="B68" s="122" t="s">
        <v>1051</v>
      </c>
      <c r="C68" s="122" t="s">
        <v>1064</v>
      </c>
      <c r="D68" s="123">
        <v>0.9</v>
      </c>
      <c r="E68" s="122">
        <v>1</v>
      </c>
      <c r="F68" s="124">
        <f>E68*D68</f>
        <v>0.9</v>
      </c>
      <c r="G68" s="122">
        <f>F68</f>
        <v>0.9</v>
      </c>
      <c r="H68" s="123">
        <f>G68</f>
        <v>0.9</v>
      </c>
      <c r="I68" s="123">
        <v>1</v>
      </c>
      <c r="J68" s="122" t="s">
        <v>1236</v>
      </c>
    </row>
    <row r="69" spans="1:10" ht="24" x14ac:dyDescent="0.25">
      <c r="A69" s="313">
        <v>10207</v>
      </c>
      <c r="B69" s="274" t="s">
        <v>1059</v>
      </c>
      <c r="C69" s="124" t="s">
        <v>1020</v>
      </c>
      <c r="D69" s="125">
        <v>0.66</v>
      </c>
      <c r="E69" s="124">
        <v>0.67</v>
      </c>
      <c r="F69" s="124">
        <f>E69*D69</f>
        <v>0.44220000000000004</v>
      </c>
      <c r="G69" s="274">
        <f>F69+F70</f>
        <v>0.61380000000000001</v>
      </c>
      <c r="H69" s="304">
        <f>G69</f>
        <v>0.61380000000000001</v>
      </c>
      <c r="I69" s="304">
        <v>0.9</v>
      </c>
      <c r="J69" s="274" t="s">
        <v>1237</v>
      </c>
    </row>
    <row r="70" spans="1:10" x14ac:dyDescent="0.25">
      <c r="A70" s="314"/>
      <c r="B70" s="276"/>
      <c r="C70" s="124" t="s">
        <v>1063</v>
      </c>
      <c r="D70" s="125">
        <v>0.52</v>
      </c>
      <c r="E70" s="124">
        <v>0.33</v>
      </c>
      <c r="F70" s="124">
        <f>E70*D70</f>
        <v>0.1716</v>
      </c>
      <c r="G70" s="276"/>
      <c r="H70" s="305"/>
      <c r="I70" s="305"/>
      <c r="J70" s="276"/>
    </row>
    <row r="71" spans="1:10" x14ac:dyDescent="0.25">
      <c r="A71" s="315" t="s">
        <v>1054</v>
      </c>
      <c r="B71" s="306" t="s">
        <v>1053</v>
      </c>
      <c r="C71" s="122" t="s">
        <v>1060</v>
      </c>
      <c r="D71" s="123">
        <v>0.69</v>
      </c>
      <c r="E71" s="122">
        <v>0.67</v>
      </c>
      <c r="F71" s="124">
        <f t="shared" ref="F71:F72" si="5">E71*D71</f>
        <v>0.46229999999999999</v>
      </c>
      <c r="G71" s="306">
        <f>F71+F72</f>
        <v>0.55469999999999997</v>
      </c>
      <c r="H71" s="308">
        <f>G71</f>
        <v>0.55469999999999997</v>
      </c>
      <c r="I71" s="308">
        <v>0.8</v>
      </c>
      <c r="J71" s="306" t="s">
        <v>1238</v>
      </c>
    </row>
    <row r="72" spans="1:10" x14ac:dyDescent="0.25">
      <c r="A72" s="317"/>
      <c r="B72" s="307"/>
      <c r="C72" s="122" t="s">
        <v>1062</v>
      </c>
      <c r="D72" s="123">
        <v>0.28000000000000003</v>
      </c>
      <c r="E72" s="122">
        <v>0.33</v>
      </c>
      <c r="F72" s="124">
        <f t="shared" si="5"/>
        <v>9.240000000000001E-2</v>
      </c>
      <c r="G72" s="307"/>
      <c r="H72" s="309"/>
      <c r="I72" s="309"/>
      <c r="J72" s="307"/>
    </row>
    <row r="73" spans="1:10" x14ac:dyDescent="0.25">
      <c r="A73" s="313" t="s">
        <v>1055</v>
      </c>
      <c r="B73" s="274" t="s">
        <v>1061</v>
      </c>
      <c r="C73" s="124" t="s">
        <v>987</v>
      </c>
      <c r="D73" s="125">
        <v>0.56000000000000005</v>
      </c>
      <c r="E73" s="124">
        <v>0.67</v>
      </c>
      <c r="F73" s="124">
        <f>E73*D73</f>
        <v>0.37520000000000003</v>
      </c>
      <c r="G73" s="274">
        <f>F73+F74</f>
        <v>0.57980000000000009</v>
      </c>
      <c r="H73" s="304">
        <f>G73</f>
        <v>0.57980000000000009</v>
      </c>
      <c r="I73" s="304">
        <v>0.65</v>
      </c>
      <c r="J73" s="274" t="s">
        <v>1239</v>
      </c>
    </row>
    <row r="74" spans="1:10" x14ac:dyDescent="0.25">
      <c r="A74" s="314"/>
      <c r="B74" s="276"/>
      <c r="C74" s="122" t="s">
        <v>1032</v>
      </c>
      <c r="D74" s="123">
        <v>0.62</v>
      </c>
      <c r="E74" s="122">
        <v>0.33</v>
      </c>
      <c r="F74" s="124">
        <f>E74*D74</f>
        <v>0.2046</v>
      </c>
      <c r="G74" s="276"/>
      <c r="H74" s="305"/>
      <c r="I74" s="305"/>
      <c r="J74" s="276"/>
    </row>
    <row r="75" spans="1:10" x14ac:dyDescent="0.2">
      <c r="B75" s="60"/>
      <c r="C75" s="60"/>
      <c r="D75" s="80"/>
      <c r="E75" s="60"/>
      <c r="F75" s="60"/>
      <c r="G75" s="60"/>
      <c r="H75" s="60"/>
      <c r="I75" s="80"/>
      <c r="J75" s="60"/>
    </row>
    <row r="76" spans="1:10" x14ac:dyDescent="0.2">
      <c r="A76" s="89"/>
      <c r="B76" s="58"/>
      <c r="C76" s="58"/>
      <c r="D76" s="74"/>
      <c r="E76" s="58"/>
      <c r="F76" s="58"/>
      <c r="G76" s="58"/>
      <c r="H76" s="58"/>
      <c r="I76" s="74"/>
      <c r="J76" s="58"/>
    </row>
    <row r="77" spans="1:10" x14ac:dyDescent="0.2">
      <c r="B77" s="60"/>
      <c r="C77" s="60"/>
      <c r="D77" s="80"/>
      <c r="E77" s="60"/>
      <c r="F77" s="60"/>
      <c r="G77" s="60"/>
      <c r="H77" s="60"/>
      <c r="I77" s="80"/>
      <c r="J77" s="60"/>
    </row>
    <row r="78" spans="1:10" x14ac:dyDescent="0.2">
      <c r="A78" s="89"/>
      <c r="B78" s="58"/>
      <c r="C78" s="58"/>
      <c r="D78" s="74"/>
      <c r="E78" s="58"/>
      <c r="F78" s="58"/>
      <c r="G78" s="58"/>
      <c r="H78" s="58"/>
      <c r="I78" s="74"/>
      <c r="J78" s="58"/>
    </row>
    <row r="79" spans="1:10" x14ac:dyDescent="0.2">
      <c r="B79" s="60"/>
      <c r="C79" s="60"/>
      <c r="D79" s="80"/>
      <c r="E79" s="60"/>
      <c r="F79" s="60"/>
      <c r="G79" s="60"/>
      <c r="H79" s="60"/>
      <c r="I79" s="80"/>
      <c r="J79" s="60"/>
    </row>
    <row r="80" spans="1:10" x14ac:dyDescent="0.2">
      <c r="A80" s="89"/>
      <c r="B80" s="58"/>
      <c r="C80" s="58"/>
      <c r="D80" s="58"/>
      <c r="E80" s="58"/>
      <c r="F80" s="58"/>
      <c r="G80" s="58"/>
      <c r="H80" s="58"/>
      <c r="I80" s="74"/>
      <c r="J80" s="58"/>
    </row>
    <row r="81" spans="1:10" x14ac:dyDescent="0.2">
      <c r="B81" s="60"/>
      <c r="C81" s="60"/>
      <c r="D81" s="60"/>
      <c r="E81" s="60"/>
      <c r="F81" s="60"/>
      <c r="G81" s="60"/>
      <c r="H81" s="60"/>
      <c r="I81" s="80"/>
      <c r="J81" s="60"/>
    </row>
    <row r="82" spans="1:10" x14ac:dyDescent="0.2">
      <c r="A82" s="89"/>
      <c r="B82" s="58"/>
      <c r="C82" s="58"/>
      <c r="D82" s="58"/>
      <c r="E82" s="58"/>
      <c r="F82" s="58"/>
      <c r="G82" s="58"/>
      <c r="H82" s="58"/>
      <c r="I82" s="74"/>
      <c r="J82" s="58"/>
    </row>
    <row r="83" spans="1:10" x14ac:dyDescent="0.2">
      <c r="I83" s="93"/>
    </row>
    <row r="84" spans="1:10" x14ac:dyDescent="0.2">
      <c r="I84" s="93"/>
    </row>
  </sheetData>
  <mergeCells count="168">
    <mergeCell ref="E1:G1"/>
    <mergeCell ref="A2:B2"/>
    <mergeCell ref="E2:G2"/>
    <mergeCell ref="A3:A5"/>
    <mergeCell ref="B3:B5"/>
    <mergeCell ref="G3:G5"/>
    <mergeCell ref="A9:A11"/>
    <mergeCell ref="B9:B11"/>
    <mergeCell ref="G9:G11"/>
    <mergeCell ref="H9:H11"/>
    <mergeCell ref="I9:I11"/>
    <mergeCell ref="J9:J11"/>
    <mergeCell ref="H3:H5"/>
    <mergeCell ref="I3:I5"/>
    <mergeCell ref="J3:J5"/>
    <mergeCell ref="A6:A8"/>
    <mergeCell ref="B6:B8"/>
    <mergeCell ref="G6:G8"/>
    <mergeCell ref="H6:H8"/>
    <mergeCell ref="I6:I8"/>
    <mergeCell ref="J6:J8"/>
    <mergeCell ref="A15:A17"/>
    <mergeCell ref="B15:B17"/>
    <mergeCell ref="G15:G17"/>
    <mergeCell ref="H15:H17"/>
    <mergeCell ref="I15:I17"/>
    <mergeCell ref="J15:J17"/>
    <mergeCell ref="A12:A14"/>
    <mergeCell ref="B12:B14"/>
    <mergeCell ref="G12:G14"/>
    <mergeCell ref="H12:H14"/>
    <mergeCell ref="I12:I14"/>
    <mergeCell ref="J12:J14"/>
    <mergeCell ref="C15:C17"/>
    <mergeCell ref="D15:D17"/>
    <mergeCell ref="A21:A22"/>
    <mergeCell ref="B21:B22"/>
    <mergeCell ref="G21:G22"/>
    <mergeCell ref="H21:H22"/>
    <mergeCell ref="I21:I22"/>
    <mergeCell ref="J21:J22"/>
    <mergeCell ref="A18:A20"/>
    <mergeCell ref="B18:B20"/>
    <mergeCell ref="G18:G20"/>
    <mergeCell ref="H18:H20"/>
    <mergeCell ref="I18:I20"/>
    <mergeCell ref="J18:J20"/>
    <mergeCell ref="A26:A27"/>
    <mergeCell ref="B26:B27"/>
    <mergeCell ref="G26:G27"/>
    <mergeCell ref="H26:H27"/>
    <mergeCell ref="I26:I27"/>
    <mergeCell ref="J26:J27"/>
    <mergeCell ref="A23:A25"/>
    <mergeCell ref="B23:B25"/>
    <mergeCell ref="G23:G25"/>
    <mergeCell ref="H23:H25"/>
    <mergeCell ref="I23:I25"/>
    <mergeCell ref="J23:J25"/>
    <mergeCell ref="A31:A32"/>
    <mergeCell ref="B31:B32"/>
    <mergeCell ref="G31:G32"/>
    <mergeCell ref="H31:H32"/>
    <mergeCell ref="I31:I32"/>
    <mergeCell ref="J31:J32"/>
    <mergeCell ref="A28:A30"/>
    <mergeCell ref="B28:B30"/>
    <mergeCell ref="G28:G29"/>
    <mergeCell ref="H28:H29"/>
    <mergeCell ref="I28:I29"/>
    <mergeCell ref="J28:J30"/>
    <mergeCell ref="G35:G36"/>
    <mergeCell ref="H35:H36"/>
    <mergeCell ref="I35:I36"/>
    <mergeCell ref="J35:J36"/>
    <mergeCell ref="A33:A34"/>
    <mergeCell ref="B33:B34"/>
    <mergeCell ref="G33:G34"/>
    <mergeCell ref="H33:H34"/>
    <mergeCell ref="I33:I34"/>
    <mergeCell ref="J33:J34"/>
    <mergeCell ref="A35:A36"/>
    <mergeCell ref="B35:B36"/>
    <mergeCell ref="H40:H42"/>
    <mergeCell ref="I40:I42"/>
    <mergeCell ref="J40:J42"/>
    <mergeCell ref="A37:A39"/>
    <mergeCell ref="B37:B39"/>
    <mergeCell ref="G37:G39"/>
    <mergeCell ref="H37:H39"/>
    <mergeCell ref="I37:I39"/>
    <mergeCell ref="J37:J39"/>
    <mergeCell ref="H46:H48"/>
    <mergeCell ref="I46:I48"/>
    <mergeCell ref="J46:J48"/>
    <mergeCell ref="B43:B44"/>
    <mergeCell ref="G43:G44"/>
    <mergeCell ref="H43:H44"/>
    <mergeCell ref="I43:I44"/>
    <mergeCell ref="J43:J44"/>
    <mergeCell ref="A43:A44"/>
    <mergeCell ref="A73:A74"/>
    <mergeCell ref="B73:B74"/>
    <mergeCell ref="A71:A72"/>
    <mergeCell ref="B71:B72"/>
    <mergeCell ref="B69:B70"/>
    <mergeCell ref="A69:A70"/>
    <mergeCell ref="B65:B66"/>
    <mergeCell ref="A65:A66"/>
    <mergeCell ref="A51:A52"/>
    <mergeCell ref="B51:B52"/>
    <mergeCell ref="A55:A56"/>
    <mergeCell ref="B55:B56"/>
    <mergeCell ref="G55:G56"/>
    <mergeCell ref="G57:G58"/>
    <mergeCell ref="A60:A61"/>
    <mergeCell ref="B60:B61"/>
    <mergeCell ref="G60:G61"/>
    <mergeCell ref="A63:A64"/>
    <mergeCell ref="B63:B64"/>
    <mergeCell ref="G63:G64"/>
    <mergeCell ref="A57:A58"/>
    <mergeCell ref="B57:B58"/>
    <mergeCell ref="G49:G50"/>
    <mergeCell ref="B49:B50"/>
    <mergeCell ref="A49:A50"/>
    <mergeCell ref="G51:G52"/>
    <mergeCell ref="A46:A48"/>
    <mergeCell ref="B46:B48"/>
    <mergeCell ref="G46:G48"/>
    <mergeCell ref="A40:A42"/>
    <mergeCell ref="B40:B42"/>
    <mergeCell ref="G40:G42"/>
    <mergeCell ref="H71:H72"/>
    <mergeCell ref="H73:H74"/>
    <mergeCell ref="C21:C22"/>
    <mergeCell ref="I51:I52"/>
    <mergeCell ref="J51:J52"/>
    <mergeCell ref="I55:I56"/>
    <mergeCell ref="I57:I58"/>
    <mergeCell ref="J55:J56"/>
    <mergeCell ref="J57:J58"/>
    <mergeCell ref="J60:J61"/>
    <mergeCell ref="H55:H56"/>
    <mergeCell ref="H57:H58"/>
    <mergeCell ref="H60:H61"/>
    <mergeCell ref="H63:H64"/>
    <mergeCell ref="H65:H66"/>
    <mergeCell ref="H69:H70"/>
    <mergeCell ref="G65:G66"/>
    <mergeCell ref="G69:G70"/>
    <mergeCell ref="G71:G72"/>
    <mergeCell ref="G73:G74"/>
    <mergeCell ref="H49:H50"/>
    <mergeCell ref="I49:I50"/>
    <mergeCell ref="J49:J50"/>
    <mergeCell ref="H51:H52"/>
    <mergeCell ref="I73:I74"/>
    <mergeCell ref="J71:J72"/>
    <mergeCell ref="J73:J74"/>
    <mergeCell ref="J69:J70"/>
    <mergeCell ref="I60:I61"/>
    <mergeCell ref="I63:I64"/>
    <mergeCell ref="J63:J64"/>
    <mergeCell ref="I65:I66"/>
    <mergeCell ref="J65:J66"/>
    <mergeCell ref="I69:I70"/>
    <mergeCell ref="I71:I72"/>
  </mergeCells>
  <pageMargins left="0.7" right="0.7" top="0.75" bottom="0.75" header="0.3" footer="0.3"/>
  <pageSetup paperSize="9" scale="1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7E797-4FF8-4735-9920-29B40835070B}">
  <dimension ref="A1:AA82"/>
  <sheetViews>
    <sheetView view="pageBreakPreview" zoomScaleNormal="70" zoomScaleSheetLayoutView="100" workbookViewId="0">
      <pane ySplit="1" topLeftCell="A40" activePane="bottomLeft" state="frozen"/>
      <selection pane="bottomLeft" activeCell="C47" sqref="C47"/>
    </sheetView>
  </sheetViews>
  <sheetFormatPr defaultColWidth="9.140625" defaultRowHeight="14.25" x14ac:dyDescent="0.2"/>
  <cols>
    <col min="1" max="1" width="11" style="53" customWidth="1"/>
    <col min="2" max="2" width="13" style="14" customWidth="1"/>
    <col min="3" max="3" width="23.42578125" style="1" customWidth="1"/>
    <col min="4" max="4" width="15.140625" style="1" customWidth="1"/>
    <col min="5" max="5" width="10.42578125" style="1" customWidth="1"/>
    <col min="6" max="7" width="5.7109375" style="1" customWidth="1"/>
    <col min="8" max="8" width="11.28515625" style="1" customWidth="1"/>
    <col min="9" max="9" width="16.7109375" style="14" customWidth="1"/>
    <col min="10" max="10" width="52.85546875" style="14" customWidth="1"/>
    <col min="11" max="11" width="43.5703125" style="71" customWidth="1"/>
    <col min="12" max="12" width="13.28515625" style="71" customWidth="1"/>
    <col min="13" max="13" width="16.28515625" style="1" customWidth="1"/>
    <col min="14" max="14" width="12.140625" style="1" customWidth="1"/>
    <col min="15" max="15" width="13.85546875" style="1" customWidth="1"/>
    <col min="16" max="16" width="18.140625" style="1" customWidth="1"/>
    <col min="17" max="17" width="23.28515625" style="1" customWidth="1"/>
    <col min="18" max="18" width="17.5703125" style="1" customWidth="1"/>
    <col min="19" max="19" width="21.140625" style="1" customWidth="1"/>
    <col min="20" max="20" width="27" style="1" customWidth="1"/>
    <col min="21" max="21" width="10.7109375" style="1" customWidth="1"/>
    <col min="22" max="22" width="12.7109375" style="1" customWidth="1"/>
    <col min="23" max="23" width="36" style="1" customWidth="1"/>
    <col min="24" max="24" width="20.28515625" style="1" customWidth="1"/>
    <col min="25" max="26" width="9.140625" style="1" customWidth="1"/>
    <col min="27" max="27" width="9.140625" style="1"/>
    <col min="28" max="28" width="9.140625" style="1" customWidth="1"/>
    <col min="29" max="16384" width="9.140625" style="1"/>
  </cols>
  <sheetData>
    <row r="1" spans="1:27" s="42" customFormat="1" ht="36" x14ac:dyDescent="0.2">
      <c r="A1" s="232" t="s">
        <v>817</v>
      </c>
      <c r="B1" s="233" t="s">
        <v>818</v>
      </c>
      <c r="C1" s="234" t="s">
        <v>819</v>
      </c>
      <c r="D1" s="234" t="s">
        <v>849</v>
      </c>
      <c r="E1" s="337" t="s">
        <v>820</v>
      </c>
      <c r="F1" s="337"/>
      <c r="G1" s="337"/>
      <c r="H1" s="235" t="s">
        <v>10</v>
      </c>
      <c r="I1" s="233" t="s">
        <v>821</v>
      </c>
      <c r="J1" s="233" t="s">
        <v>822</v>
      </c>
      <c r="K1" s="231" t="s">
        <v>959</v>
      </c>
      <c r="L1" s="159" t="s">
        <v>860</v>
      </c>
      <c r="P1" s="160"/>
      <c r="Q1" s="160"/>
      <c r="R1" s="160"/>
      <c r="S1" s="160"/>
      <c r="T1" s="160"/>
      <c r="U1" s="160"/>
      <c r="V1" s="160"/>
      <c r="W1" s="160"/>
      <c r="X1" s="160"/>
      <c r="Y1" s="161"/>
      <c r="Z1" s="161"/>
      <c r="AA1" s="161"/>
    </row>
    <row r="2" spans="1:27" ht="16.149999999999999" customHeight="1" x14ac:dyDescent="0.2">
      <c r="A2" s="199"/>
      <c r="B2" s="121"/>
      <c r="C2" s="120"/>
      <c r="D2" s="104" t="s">
        <v>885</v>
      </c>
      <c r="E2" s="290"/>
      <c r="F2" s="290"/>
      <c r="G2" s="290"/>
      <c r="H2" s="120"/>
      <c r="I2" s="121"/>
      <c r="J2" s="121"/>
      <c r="K2" s="68"/>
      <c r="L2" s="73"/>
      <c r="P2" s="39"/>
      <c r="Q2" s="39"/>
      <c r="R2" s="45"/>
      <c r="S2" s="39"/>
      <c r="T2" s="39"/>
      <c r="U2" s="39"/>
      <c r="V2" s="39"/>
      <c r="W2" s="39"/>
      <c r="X2" s="39"/>
      <c r="Y2" s="43"/>
      <c r="Z2" s="43"/>
      <c r="AA2" s="43"/>
    </row>
    <row r="3" spans="1:27" x14ac:dyDescent="0.2">
      <c r="A3" s="302">
        <v>1</v>
      </c>
      <c r="B3" s="303" t="s">
        <v>17</v>
      </c>
      <c r="C3" s="122" t="s">
        <v>850</v>
      </c>
      <c r="D3" s="123">
        <v>0.66</v>
      </c>
      <c r="E3" s="122">
        <v>0.55000000000000004</v>
      </c>
      <c r="F3" s="122">
        <f>E3*D3</f>
        <v>0.36300000000000004</v>
      </c>
      <c r="G3" s="264">
        <f>F3+F4+F5</f>
        <v>0.63480000000000003</v>
      </c>
      <c r="H3" s="283">
        <f>G3</f>
        <v>0.63480000000000003</v>
      </c>
      <c r="I3" s="303" t="s">
        <v>287</v>
      </c>
      <c r="J3" s="334" t="s">
        <v>1190</v>
      </c>
      <c r="K3" s="68"/>
      <c r="L3" s="73"/>
      <c r="P3" s="39"/>
      <c r="Q3" s="39"/>
      <c r="R3" s="45"/>
      <c r="S3" s="39"/>
      <c r="T3" s="39"/>
      <c r="U3" s="39"/>
      <c r="V3" s="39"/>
      <c r="W3" s="39"/>
      <c r="X3" s="39"/>
      <c r="Y3" s="43"/>
      <c r="Z3" s="43"/>
      <c r="AA3" s="43"/>
    </row>
    <row r="4" spans="1:27" x14ac:dyDescent="0.2">
      <c r="A4" s="302"/>
      <c r="B4" s="303"/>
      <c r="C4" s="122" t="s">
        <v>851</v>
      </c>
      <c r="D4" s="123">
        <v>0.46</v>
      </c>
      <c r="E4" s="122">
        <v>0.18</v>
      </c>
      <c r="F4" s="122">
        <f t="shared" ref="F4:F5" si="0">E4*D4</f>
        <v>8.2799999999999999E-2</v>
      </c>
      <c r="G4" s="264"/>
      <c r="H4" s="283"/>
      <c r="I4" s="303"/>
      <c r="J4" s="334"/>
      <c r="K4" s="75"/>
      <c r="L4" s="73"/>
      <c r="P4" s="39"/>
      <c r="Q4" s="39"/>
      <c r="R4" s="45"/>
      <c r="S4" s="39"/>
      <c r="T4" s="39"/>
      <c r="U4" s="46"/>
      <c r="V4" s="39"/>
      <c r="W4" s="39"/>
      <c r="X4" s="39"/>
      <c r="Y4" s="43"/>
      <c r="Z4" s="43"/>
      <c r="AA4" s="43"/>
    </row>
    <row r="5" spans="1:27" x14ac:dyDescent="0.2">
      <c r="A5" s="302"/>
      <c r="B5" s="303"/>
      <c r="C5" s="122" t="s">
        <v>852</v>
      </c>
      <c r="D5" s="123">
        <v>0.7</v>
      </c>
      <c r="E5" s="122">
        <v>0.27</v>
      </c>
      <c r="F5" s="122">
        <f t="shared" si="0"/>
        <v>0.189</v>
      </c>
      <c r="G5" s="264"/>
      <c r="H5" s="283"/>
      <c r="I5" s="303"/>
      <c r="J5" s="334"/>
      <c r="K5" s="68"/>
      <c r="L5" s="73"/>
      <c r="P5" s="39"/>
      <c r="Q5" s="39"/>
      <c r="R5" s="45"/>
      <c r="S5" s="39"/>
      <c r="T5" s="39"/>
      <c r="U5" s="46"/>
      <c r="V5" s="39"/>
      <c r="W5" s="39"/>
      <c r="X5" s="39"/>
      <c r="Y5" s="25"/>
      <c r="Z5" s="43"/>
      <c r="AA5" s="43"/>
    </row>
    <row r="6" spans="1:27" ht="24" x14ac:dyDescent="0.2">
      <c r="A6" s="294">
        <v>2</v>
      </c>
      <c r="B6" s="295" t="s">
        <v>18</v>
      </c>
      <c r="C6" s="122" t="s">
        <v>853</v>
      </c>
      <c r="D6" s="123">
        <v>0.72</v>
      </c>
      <c r="E6" s="122">
        <v>0.55000000000000004</v>
      </c>
      <c r="F6" s="122">
        <f>E6*D6</f>
        <v>0.39600000000000002</v>
      </c>
      <c r="G6" s="264">
        <f>F6+F7+F8</f>
        <v>0.64349999999999996</v>
      </c>
      <c r="H6" s="283">
        <f>G6</f>
        <v>0.64349999999999996</v>
      </c>
      <c r="I6" s="295" t="s">
        <v>288</v>
      </c>
      <c r="J6" s="336" t="s">
        <v>1191</v>
      </c>
      <c r="K6" s="68"/>
      <c r="L6" s="73"/>
      <c r="P6" s="39"/>
      <c r="Q6" s="39"/>
      <c r="R6" s="45"/>
      <c r="S6" s="39"/>
      <c r="T6" s="39"/>
      <c r="U6" s="46"/>
      <c r="V6" s="39"/>
      <c r="W6" s="39"/>
      <c r="X6" s="39"/>
      <c r="Y6" s="25"/>
      <c r="Z6" s="43"/>
      <c r="AA6" s="43"/>
    </row>
    <row r="7" spans="1:27" x14ac:dyDescent="0.2">
      <c r="A7" s="294"/>
      <c r="B7" s="295"/>
      <c r="C7" s="122" t="s">
        <v>854</v>
      </c>
      <c r="D7" s="123">
        <v>0.61</v>
      </c>
      <c r="E7" s="122">
        <v>0.27</v>
      </c>
      <c r="F7" s="122">
        <f t="shared" ref="F7:F25" si="1">E7*D7</f>
        <v>0.16470000000000001</v>
      </c>
      <c r="G7" s="264"/>
      <c r="H7" s="283"/>
      <c r="I7" s="295"/>
      <c r="J7" s="336"/>
      <c r="K7" s="68"/>
      <c r="L7" s="73"/>
      <c r="P7" s="39"/>
      <c r="Q7" s="39"/>
      <c r="R7" s="45"/>
      <c r="S7" s="39"/>
      <c r="T7" s="39"/>
      <c r="U7" s="46"/>
      <c r="V7" s="39"/>
      <c r="W7" s="39"/>
      <c r="X7" s="39"/>
      <c r="Y7" s="25"/>
      <c r="Z7" s="43"/>
      <c r="AA7" s="43"/>
    </row>
    <row r="8" spans="1:27" ht="24" x14ac:dyDescent="0.25">
      <c r="A8" s="294"/>
      <c r="B8" s="295"/>
      <c r="C8" s="124" t="s">
        <v>855</v>
      </c>
      <c r="D8" s="125">
        <v>0.46</v>
      </c>
      <c r="E8" s="124">
        <v>0.18</v>
      </c>
      <c r="F8" s="122">
        <f t="shared" si="1"/>
        <v>8.2799999999999999E-2</v>
      </c>
      <c r="G8" s="264"/>
      <c r="H8" s="283"/>
      <c r="I8" s="295"/>
      <c r="J8" s="336"/>
      <c r="K8" s="68"/>
      <c r="L8" s="73"/>
      <c r="P8" s="39"/>
      <c r="Q8" s="39"/>
      <c r="R8" s="45"/>
      <c r="S8" s="39"/>
      <c r="T8" s="39"/>
      <c r="U8" s="46"/>
      <c r="V8" s="39"/>
      <c r="W8" s="39"/>
      <c r="X8" s="39"/>
    </row>
    <row r="9" spans="1:27" ht="24" x14ac:dyDescent="0.2">
      <c r="A9" s="200">
        <v>3</v>
      </c>
      <c r="B9" s="201" t="s">
        <v>194</v>
      </c>
      <c r="C9" s="124" t="s">
        <v>857</v>
      </c>
      <c r="D9" s="125">
        <v>0.46</v>
      </c>
      <c r="E9" s="124">
        <v>0.33</v>
      </c>
      <c r="F9" s="122">
        <f t="shared" si="1"/>
        <v>0.15180000000000002</v>
      </c>
      <c r="G9" s="264">
        <f>F9+F10</f>
        <v>0.5605</v>
      </c>
      <c r="H9" s="283">
        <f>G9</f>
        <v>0.5605</v>
      </c>
      <c r="I9" s="303" t="s">
        <v>289</v>
      </c>
      <c r="J9" s="293" t="s">
        <v>1192</v>
      </c>
      <c r="K9" s="68"/>
      <c r="L9" s="68"/>
      <c r="P9" s="39"/>
      <c r="Q9" s="39"/>
      <c r="R9" s="45"/>
      <c r="S9" s="39"/>
      <c r="T9" s="39"/>
      <c r="U9" s="46"/>
      <c r="V9" s="39"/>
      <c r="W9" s="39"/>
      <c r="X9" s="39"/>
    </row>
    <row r="10" spans="1:27" ht="28.9" customHeight="1" x14ac:dyDescent="0.2">
      <c r="A10" s="200"/>
      <c r="B10" s="201"/>
      <c r="C10" s="122" t="s">
        <v>858</v>
      </c>
      <c r="D10" s="125">
        <v>0.61</v>
      </c>
      <c r="E10" s="124">
        <v>0.67</v>
      </c>
      <c r="F10" s="122">
        <f t="shared" si="1"/>
        <v>0.40870000000000001</v>
      </c>
      <c r="G10" s="264"/>
      <c r="H10" s="283"/>
      <c r="I10" s="303"/>
      <c r="J10" s="293"/>
      <c r="K10" s="68"/>
      <c r="L10" s="68"/>
      <c r="M10" s="39"/>
      <c r="N10" s="39"/>
      <c r="O10" s="39"/>
      <c r="P10" s="39"/>
      <c r="Q10" s="39"/>
      <c r="R10" s="45"/>
      <c r="S10" s="39"/>
      <c r="T10" s="39"/>
      <c r="U10" s="46"/>
      <c r="V10" s="39"/>
      <c r="W10" s="39"/>
      <c r="X10" s="39"/>
    </row>
    <row r="11" spans="1:27" s="49" customFormat="1" ht="26.45" customHeight="1" x14ac:dyDescent="0.25">
      <c r="A11" s="289">
        <v>4</v>
      </c>
      <c r="B11" s="104" t="s">
        <v>195</v>
      </c>
      <c r="C11" s="122" t="s">
        <v>859</v>
      </c>
      <c r="D11" s="123">
        <v>0.61</v>
      </c>
      <c r="E11" s="122">
        <v>0.67</v>
      </c>
      <c r="F11" s="122">
        <f t="shared" si="1"/>
        <v>0.40870000000000001</v>
      </c>
      <c r="G11" s="277">
        <f>F11+F12</f>
        <v>0.5605</v>
      </c>
      <c r="H11" s="283">
        <f>G11</f>
        <v>0.5605</v>
      </c>
      <c r="I11" s="295" t="s">
        <v>290</v>
      </c>
      <c r="J11" s="290" t="s">
        <v>886</v>
      </c>
      <c r="K11" s="69"/>
      <c r="L11" s="69"/>
      <c r="N11" s="50"/>
      <c r="R11" s="51"/>
      <c r="U11" s="52"/>
    </row>
    <row r="12" spans="1:27" s="49" customFormat="1" ht="24" x14ac:dyDescent="0.25">
      <c r="A12" s="289"/>
      <c r="B12" s="104"/>
      <c r="C12" s="124" t="s">
        <v>823</v>
      </c>
      <c r="D12" s="123">
        <v>0.46</v>
      </c>
      <c r="E12" s="122">
        <v>0.33</v>
      </c>
      <c r="F12" s="122">
        <f t="shared" si="1"/>
        <v>0.15180000000000002</v>
      </c>
      <c r="G12" s="277"/>
      <c r="H12" s="283"/>
      <c r="I12" s="295"/>
      <c r="J12" s="290"/>
      <c r="K12" s="69"/>
      <c r="L12" s="69"/>
      <c r="N12" s="50"/>
      <c r="R12" s="51"/>
      <c r="U12" s="52"/>
    </row>
    <row r="13" spans="1:27" ht="24" x14ac:dyDescent="0.25">
      <c r="A13" s="302">
        <v>5</v>
      </c>
      <c r="B13" s="303" t="s">
        <v>196</v>
      </c>
      <c r="C13" s="124" t="s">
        <v>861</v>
      </c>
      <c r="D13" s="125">
        <v>0.61</v>
      </c>
      <c r="E13" s="124">
        <v>0.55000000000000004</v>
      </c>
      <c r="F13" s="124">
        <f>E13*D13</f>
        <v>0.33550000000000002</v>
      </c>
      <c r="G13" s="284">
        <f>F13+F14+F15</f>
        <v>0.55330000000000001</v>
      </c>
      <c r="H13" s="333">
        <f>G13</f>
        <v>0.55330000000000001</v>
      </c>
      <c r="I13" s="303" t="s">
        <v>291</v>
      </c>
      <c r="J13" s="334" t="s">
        <v>1193</v>
      </c>
      <c r="K13" s="70"/>
      <c r="L13" s="68"/>
      <c r="M13" s="39"/>
      <c r="N13" s="47"/>
      <c r="O13" s="39"/>
      <c r="P13" s="39"/>
      <c r="Q13" s="39"/>
      <c r="R13" s="45"/>
      <c r="S13" s="39"/>
      <c r="T13" s="39"/>
      <c r="U13" s="46"/>
      <c r="V13" s="39"/>
      <c r="W13" s="39"/>
      <c r="X13" s="39"/>
    </row>
    <row r="14" spans="1:27" ht="24" x14ac:dyDescent="0.25">
      <c r="A14" s="302"/>
      <c r="B14" s="303"/>
      <c r="C14" s="124" t="s">
        <v>823</v>
      </c>
      <c r="D14" s="125">
        <v>0.46</v>
      </c>
      <c r="E14" s="124">
        <v>0.27</v>
      </c>
      <c r="F14" s="124">
        <f>E14*D14</f>
        <v>0.12420000000000002</v>
      </c>
      <c r="G14" s="284"/>
      <c r="H14" s="333"/>
      <c r="I14" s="303"/>
      <c r="J14" s="334"/>
      <c r="K14" s="70"/>
      <c r="L14" s="68"/>
      <c r="M14" s="39"/>
      <c r="N14" s="47"/>
      <c r="O14" s="39"/>
      <c r="P14" s="39"/>
      <c r="Q14" s="39"/>
      <c r="R14" s="45"/>
      <c r="S14" s="39"/>
      <c r="T14" s="39"/>
      <c r="U14" s="46"/>
      <c r="V14" s="39"/>
      <c r="W14" s="39"/>
      <c r="X14" s="39"/>
    </row>
    <row r="15" spans="1:27" ht="36" x14ac:dyDescent="0.25">
      <c r="A15" s="302"/>
      <c r="B15" s="303"/>
      <c r="C15" s="122" t="s">
        <v>862</v>
      </c>
      <c r="D15" s="123">
        <v>0.52</v>
      </c>
      <c r="E15" s="122">
        <v>0.18</v>
      </c>
      <c r="F15" s="124">
        <f>E15*D15</f>
        <v>9.3600000000000003E-2</v>
      </c>
      <c r="G15" s="284"/>
      <c r="H15" s="333"/>
      <c r="I15" s="303"/>
      <c r="J15" s="334"/>
      <c r="K15" s="68"/>
      <c r="L15" s="68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</row>
    <row r="16" spans="1:27" x14ac:dyDescent="0.25">
      <c r="A16" s="289">
        <v>6</v>
      </c>
      <c r="B16" s="295" t="s">
        <v>197</v>
      </c>
      <c r="C16" s="122" t="s">
        <v>865</v>
      </c>
      <c r="D16" s="123">
        <v>0.7</v>
      </c>
      <c r="E16" s="122">
        <v>0.55000000000000004</v>
      </c>
      <c r="F16" s="122">
        <f t="shared" si="1"/>
        <v>0.38500000000000001</v>
      </c>
      <c r="G16" s="277">
        <f>F16+F17+F18</f>
        <v>0.60820000000000007</v>
      </c>
      <c r="H16" s="283">
        <f>G16</f>
        <v>0.60820000000000007</v>
      </c>
      <c r="I16" s="295" t="s">
        <v>292</v>
      </c>
      <c r="J16" s="335" t="s">
        <v>1194</v>
      </c>
      <c r="K16" s="68"/>
      <c r="L16" s="68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</row>
    <row r="17" spans="1:24" ht="24" x14ac:dyDescent="0.25">
      <c r="A17" s="289"/>
      <c r="B17" s="295"/>
      <c r="C17" s="122" t="s">
        <v>864</v>
      </c>
      <c r="D17" s="123">
        <v>0.52</v>
      </c>
      <c r="E17" s="122">
        <v>0.27</v>
      </c>
      <c r="F17" s="122">
        <f t="shared" si="1"/>
        <v>0.14040000000000002</v>
      </c>
      <c r="G17" s="277"/>
      <c r="H17" s="283"/>
      <c r="I17" s="295"/>
      <c r="J17" s="335"/>
      <c r="K17" s="68"/>
      <c r="L17" s="68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</row>
    <row r="18" spans="1:24" ht="24" x14ac:dyDescent="0.25">
      <c r="A18" s="289"/>
      <c r="B18" s="295"/>
      <c r="C18" s="124" t="s">
        <v>823</v>
      </c>
      <c r="D18" s="125">
        <v>0.46</v>
      </c>
      <c r="E18" s="124">
        <v>0.18</v>
      </c>
      <c r="F18" s="122">
        <f t="shared" si="1"/>
        <v>8.2799999999999999E-2</v>
      </c>
      <c r="G18" s="277"/>
      <c r="H18" s="283"/>
      <c r="I18" s="295"/>
      <c r="J18" s="335"/>
      <c r="K18" s="68"/>
      <c r="L18" s="68"/>
      <c r="M18" s="39"/>
      <c r="N18" s="39"/>
      <c r="O18" s="39"/>
      <c r="P18" s="46"/>
      <c r="Q18" s="39"/>
      <c r="R18" s="39"/>
      <c r="S18" s="39"/>
      <c r="T18" s="39"/>
      <c r="U18" s="39"/>
      <c r="V18" s="39"/>
      <c r="W18" s="39"/>
      <c r="X18" s="39"/>
    </row>
    <row r="19" spans="1:24" ht="24" x14ac:dyDescent="0.25">
      <c r="A19" s="302">
        <v>7</v>
      </c>
      <c r="B19" s="303" t="s">
        <v>198</v>
      </c>
      <c r="C19" s="124" t="s">
        <v>866</v>
      </c>
      <c r="D19" s="125">
        <v>0.46</v>
      </c>
      <c r="E19" s="124">
        <v>0.67</v>
      </c>
      <c r="F19" s="124">
        <f t="shared" si="1"/>
        <v>0.30820000000000003</v>
      </c>
      <c r="G19" s="284">
        <f>F19+F20</f>
        <v>0.50950000000000006</v>
      </c>
      <c r="H19" s="333">
        <f>G19</f>
        <v>0.50950000000000006</v>
      </c>
      <c r="I19" s="303" t="s">
        <v>293</v>
      </c>
      <c r="J19" s="334" t="s">
        <v>1195</v>
      </c>
      <c r="K19" s="68"/>
      <c r="L19" s="68"/>
      <c r="M19" s="39"/>
      <c r="N19" s="39"/>
      <c r="O19" s="39"/>
      <c r="P19" s="46"/>
      <c r="Q19" s="39"/>
      <c r="R19" s="39"/>
      <c r="S19" s="39"/>
      <c r="T19" s="39"/>
      <c r="U19" s="39"/>
      <c r="V19" s="39"/>
      <c r="W19" s="39"/>
      <c r="X19" s="39"/>
    </row>
    <row r="20" spans="1:24" ht="24" x14ac:dyDescent="0.25">
      <c r="A20" s="302"/>
      <c r="B20" s="303"/>
      <c r="C20" s="124" t="s">
        <v>861</v>
      </c>
      <c r="D20" s="125">
        <v>0.61</v>
      </c>
      <c r="E20" s="124">
        <v>0.33</v>
      </c>
      <c r="F20" s="124">
        <f t="shared" si="1"/>
        <v>0.20130000000000001</v>
      </c>
      <c r="G20" s="284"/>
      <c r="H20" s="333"/>
      <c r="I20" s="303"/>
      <c r="J20" s="334"/>
      <c r="K20" s="68"/>
      <c r="L20" s="68"/>
      <c r="M20" s="39"/>
      <c r="N20" s="39"/>
      <c r="O20" s="39"/>
      <c r="P20" s="46"/>
      <c r="Q20" s="39"/>
      <c r="R20" s="39"/>
      <c r="S20" s="39"/>
      <c r="T20" s="39"/>
      <c r="U20" s="39"/>
      <c r="V20" s="39"/>
      <c r="W20" s="39"/>
      <c r="X20" s="39"/>
    </row>
    <row r="21" spans="1:24" ht="24" x14ac:dyDescent="0.25">
      <c r="A21" s="289">
        <v>8</v>
      </c>
      <c r="B21" s="295" t="s">
        <v>199</v>
      </c>
      <c r="C21" s="122" t="s">
        <v>867</v>
      </c>
      <c r="D21" s="123">
        <v>0.72</v>
      </c>
      <c r="E21" s="122">
        <v>0.55000000000000004</v>
      </c>
      <c r="F21" s="122">
        <f t="shared" si="1"/>
        <v>0.39600000000000002</v>
      </c>
      <c r="G21" s="277">
        <f>F207+F22+F23</f>
        <v>0.21780000000000002</v>
      </c>
      <c r="H21" s="283">
        <f>G21</f>
        <v>0.21780000000000002</v>
      </c>
      <c r="I21" s="295" t="s">
        <v>294</v>
      </c>
      <c r="J21" s="335" t="s">
        <v>1196</v>
      </c>
      <c r="K21" s="68"/>
      <c r="L21" s="68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</row>
    <row r="22" spans="1:24" ht="24" x14ac:dyDescent="0.25">
      <c r="A22" s="289"/>
      <c r="B22" s="295"/>
      <c r="C22" s="122" t="s">
        <v>868</v>
      </c>
      <c r="D22" s="123">
        <v>0.46</v>
      </c>
      <c r="E22" s="122">
        <v>0.27</v>
      </c>
      <c r="F22" s="122">
        <f t="shared" si="1"/>
        <v>0.12420000000000002</v>
      </c>
      <c r="G22" s="277"/>
      <c r="H22" s="283"/>
      <c r="I22" s="295"/>
      <c r="J22" s="335"/>
      <c r="K22" s="68"/>
      <c r="L22" s="68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</row>
    <row r="23" spans="1:24" ht="24" x14ac:dyDescent="0.25">
      <c r="A23" s="289"/>
      <c r="B23" s="295"/>
      <c r="C23" s="124" t="s">
        <v>869</v>
      </c>
      <c r="D23" s="125">
        <v>0.52</v>
      </c>
      <c r="E23" s="124">
        <v>0.18</v>
      </c>
      <c r="F23" s="122">
        <f t="shared" si="1"/>
        <v>9.3600000000000003E-2</v>
      </c>
      <c r="G23" s="277"/>
      <c r="H23" s="283"/>
      <c r="I23" s="295"/>
      <c r="J23" s="335"/>
      <c r="K23" s="68"/>
      <c r="L23" s="68"/>
      <c r="M23" s="39"/>
      <c r="N23" s="39"/>
      <c r="O23" s="39"/>
      <c r="P23" s="39"/>
      <c r="Q23" s="48"/>
      <c r="R23" s="39"/>
      <c r="S23" s="39"/>
      <c r="T23" s="48"/>
      <c r="U23" s="39"/>
      <c r="V23" s="39"/>
      <c r="W23" s="48"/>
      <c r="X23" s="39"/>
    </row>
    <row r="24" spans="1:24" ht="36" x14ac:dyDescent="0.25">
      <c r="A24" s="302">
        <v>9</v>
      </c>
      <c r="B24" s="303" t="s">
        <v>200</v>
      </c>
      <c r="C24" s="124" t="s">
        <v>870</v>
      </c>
      <c r="D24" s="125">
        <v>0.66</v>
      </c>
      <c r="E24" s="124">
        <v>0.67</v>
      </c>
      <c r="F24" s="124">
        <f t="shared" si="1"/>
        <v>0.44220000000000004</v>
      </c>
      <c r="G24" s="284">
        <f>F24+F25</f>
        <v>0.59400000000000008</v>
      </c>
      <c r="H24" s="333">
        <f>G24</f>
        <v>0.59400000000000008</v>
      </c>
      <c r="I24" s="295" t="s">
        <v>295</v>
      </c>
      <c r="J24" s="334" t="s">
        <v>1197</v>
      </c>
      <c r="K24" s="68"/>
      <c r="L24" s="68"/>
      <c r="M24" s="39"/>
      <c r="N24" s="39"/>
      <c r="O24" s="39"/>
      <c r="P24" s="39"/>
      <c r="Q24" s="48"/>
      <c r="R24" s="39"/>
      <c r="S24" s="39"/>
      <c r="T24" s="48"/>
      <c r="U24" s="39"/>
      <c r="V24" s="39"/>
      <c r="W24" s="48"/>
      <c r="X24" s="39"/>
    </row>
    <row r="25" spans="1:24" ht="24" x14ac:dyDescent="0.25">
      <c r="A25" s="302"/>
      <c r="B25" s="303"/>
      <c r="C25" s="124" t="s">
        <v>823</v>
      </c>
      <c r="D25" s="125">
        <v>0.46</v>
      </c>
      <c r="E25" s="124">
        <v>0.33</v>
      </c>
      <c r="F25" s="124">
        <f t="shared" si="1"/>
        <v>0.15180000000000002</v>
      </c>
      <c r="G25" s="284"/>
      <c r="H25" s="333"/>
      <c r="I25" s="295"/>
      <c r="J25" s="334"/>
      <c r="K25" s="68"/>
      <c r="L25" s="68"/>
      <c r="M25" s="39"/>
      <c r="N25" s="39"/>
      <c r="O25" s="39"/>
      <c r="P25" s="39"/>
      <c r="Q25" s="48"/>
      <c r="R25" s="39"/>
      <c r="S25" s="39"/>
      <c r="T25" s="48"/>
      <c r="U25" s="39"/>
      <c r="V25" s="39"/>
      <c r="W25" s="48"/>
      <c r="X25" s="39"/>
    </row>
    <row r="26" spans="1:24" ht="36" x14ac:dyDescent="0.25">
      <c r="A26" s="289">
        <v>10</v>
      </c>
      <c r="B26" s="295" t="s">
        <v>201</v>
      </c>
      <c r="C26" s="122" t="s">
        <v>871</v>
      </c>
      <c r="D26" s="123">
        <v>0.66</v>
      </c>
      <c r="E26" s="122">
        <v>0.67</v>
      </c>
      <c r="F26" s="122">
        <f>E26*D26</f>
        <v>0.44220000000000004</v>
      </c>
      <c r="G26" s="277">
        <f>F26+F27</f>
        <v>0.59400000000000008</v>
      </c>
      <c r="H26" s="283">
        <f>G26</f>
        <v>0.59400000000000008</v>
      </c>
      <c r="I26" s="303" t="s">
        <v>296</v>
      </c>
      <c r="J26" s="335" t="s">
        <v>1198</v>
      </c>
      <c r="K26" s="68"/>
      <c r="L26" s="68"/>
      <c r="M26" s="39"/>
      <c r="N26" s="39"/>
      <c r="O26" s="39"/>
      <c r="P26" s="39"/>
      <c r="Q26" s="48"/>
      <c r="R26" s="39"/>
      <c r="S26" s="39"/>
      <c r="T26" s="48"/>
      <c r="U26" s="39"/>
      <c r="V26" s="39"/>
      <c r="W26" s="48"/>
      <c r="X26" s="39"/>
    </row>
    <row r="27" spans="1:24" ht="24" x14ac:dyDescent="0.25">
      <c r="A27" s="289"/>
      <c r="B27" s="295"/>
      <c r="C27" s="122" t="s">
        <v>868</v>
      </c>
      <c r="D27" s="123">
        <v>0.46</v>
      </c>
      <c r="E27" s="122">
        <v>0.33</v>
      </c>
      <c r="F27" s="122">
        <f>E27*D27</f>
        <v>0.15180000000000002</v>
      </c>
      <c r="G27" s="277"/>
      <c r="H27" s="283"/>
      <c r="I27" s="303"/>
      <c r="J27" s="335"/>
      <c r="K27" s="68"/>
      <c r="L27" s="68"/>
      <c r="M27" s="39"/>
      <c r="N27" s="39"/>
      <c r="O27" s="39"/>
      <c r="P27" s="39"/>
      <c r="Q27" s="48"/>
      <c r="R27" s="39"/>
      <c r="S27" s="39"/>
      <c r="T27" s="48"/>
      <c r="U27" s="39"/>
      <c r="V27" s="39"/>
      <c r="W27" s="48"/>
      <c r="X27" s="39"/>
    </row>
    <row r="28" spans="1:24" s="39" customFormat="1" ht="15" x14ac:dyDescent="0.25">
      <c r="A28" s="289"/>
      <c r="B28" s="295"/>
      <c r="C28" s="124"/>
      <c r="D28" s="125"/>
      <c r="E28" s="124"/>
      <c r="F28" s="124"/>
      <c r="G28" s="124"/>
      <c r="H28" s="124"/>
      <c r="I28" s="104"/>
      <c r="J28" s="335"/>
      <c r="K28" s="68"/>
      <c r="L28" s="68"/>
      <c r="Q28" s="48"/>
      <c r="T28" s="48"/>
      <c r="W28" s="48"/>
    </row>
    <row r="29" spans="1:24" s="39" customFormat="1" ht="24" x14ac:dyDescent="0.25">
      <c r="A29" s="302">
        <v>11</v>
      </c>
      <c r="B29" s="303" t="s">
        <v>202</v>
      </c>
      <c r="C29" s="124" t="s">
        <v>872</v>
      </c>
      <c r="D29" s="125">
        <v>0.66</v>
      </c>
      <c r="E29" s="124">
        <v>0.67</v>
      </c>
      <c r="F29" s="124">
        <f t="shared" ref="F29:F38" si="2">E29*D29</f>
        <v>0.44220000000000004</v>
      </c>
      <c r="G29" s="284">
        <f>F29+F30</f>
        <v>0.59400000000000008</v>
      </c>
      <c r="H29" s="333">
        <f>G29</f>
        <v>0.59400000000000008</v>
      </c>
      <c r="I29" s="295" t="s">
        <v>292</v>
      </c>
      <c r="J29" s="334" t="s">
        <v>1199</v>
      </c>
      <c r="K29" s="68"/>
      <c r="L29" s="68"/>
      <c r="Q29" s="48"/>
      <c r="T29" s="48"/>
      <c r="W29" s="48"/>
    </row>
    <row r="30" spans="1:24" s="39" customFormat="1" ht="24" x14ac:dyDescent="0.25">
      <c r="A30" s="302"/>
      <c r="B30" s="303"/>
      <c r="C30" s="124" t="s">
        <v>823</v>
      </c>
      <c r="D30" s="125">
        <v>0.46</v>
      </c>
      <c r="E30" s="124">
        <v>0.33</v>
      </c>
      <c r="F30" s="124">
        <f t="shared" si="2"/>
        <v>0.15180000000000002</v>
      </c>
      <c r="G30" s="284"/>
      <c r="H30" s="333"/>
      <c r="I30" s="295"/>
      <c r="J30" s="334"/>
      <c r="K30" s="68"/>
      <c r="L30" s="68"/>
      <c r="Q30" s="48"/>
      <c r="T30" s="48"/>
      <c r="W30" s="48"/>
    </row>
    <row r="31" spans="1:24" ht="24" x14ac:dyDescent="0.25">
      <c r="A31" s="289">
        <v>12</v>
      </c>
      <c r="B31" s="295" t="s">
        <v>203</v>
      </c>
      <c r="C31" s="122" t="s">
        <v>867</v>
      </c>
      <c r="D31" s="123">
        <v>0.72</v>
      </c>
      <c r="E31" s="122">
        <v>0.67</v>
      </c>
      <c r="F31" s="122">
        <f t="shared" si="2"/>
        <v>0.4824</v>
      </c>
      <c r="G31" s="277">
        <f>F31+F32</f>
        <v>0.63419999999999999</v>
      </c>
      <c r="H31" s="283">
        <f>G31</f>
        <v>0.63419999999999999</v>
      </c>
      <c r="I31" s="303" t="s">
        <v>297</v>
      </c>
      <c r="J31" s="335" t="s">
        <v>1200</v>
      </c>
      <c r="K31" s="68"/>
      <c r="L31" s="68"/>
      <c r="M31" s="39"/>
      <c r="N31" s="39"/>
      <c r="O31" s="39"/>
      <c r="P31" s="39"/>
      <c r="Q31" s="48"/>
      <c r="R31" s="39"/>
      <c r="S31" s="39"/>
      <c r="T31" s="48"/>
      <c r="U31" s="39"/>
      <c r="V31" s="39"/>
      <c r="W31" s="48"/>
      <c r="X31" s="39"/>
    </row>
    <row r="32" spans="1:24" ht="24" x14ac:dyDescent="0.25">
      <c r="A32" s="289"/>
      <c r="B32" s="295"/>
      <c r="C32" s="122" t="s">
        <v>823</v>
      </c>
      <c r="D32" s="123">
        <v>0.46</v>
      </c>
      <c r="E32" s="122">
        <v>0.33</v>
      </c>
      <c r="F32" s="122">
        <f t="shared" si="2"/>
        <v>0.15180000000000002</v>
      </c>
      <c r="G32" s="277"/>
      <c r="H32" s="283"/>
      <c r="I32" s="303"/>
      <c r="J32" s="335"/>
      <c r="K32" s="68"/>
      <c r="L32" s="68"/>
      <c r="M32" s="39"/>
      <c r="N32" s="39"/>
      <c r="O32" s="39"/>
      <c r="P32" s="39"/>
      <c r="Q32" s="48"/>
      <c r="R32" s="39"/>
      <c r="S32" s="39"/>
      <c r="T32" s="48"/>
      <c r="U32" s="39"/>
      <c r="V32" s="39"/>
      <c r="W32" s="48"/>
      <c r="X32" s="39"/>
    </row>
    <row r="33" spans="1:24" ht="24" x14ac:dyDescent="0.25">
      <c r="A33" s="302">
        <v>13</v>
      </c>
      <c r="B33" s="303" t="s">
        <v>204</v>
      </c>
      <c r="C33" s="124" t="s">
        <v>823</v>
      </c>
      <c r="D33" s="125">
        <v>0.46</v>
      </c>
      <c r="E33" s="124">
        <v>0.67</v>
      </c>
      <c r="F33" s="124">
        <f t="shared" si="2"/>
        <v>0.30820000000000003</v>
      </c>
      <c r="G33" s="284">
        <f>F33+F34</f>
        <v>0.39070000000000005</v>
      </c>
      <c r="H33" s="333">
        <f>G33</f>
        <v>0.39070000000000005</v>
      </c>
      <c r="I33" s="295" t="s">
        <v>288</v>
      </c>
      <c r="J33" s="334" t="s">
        <v>1201</v>
      </c>
      <c r="K33" s="68"/>
      <c r="L33" s="68"/>
      <c r="M33" s="39"/>
      <c r="N33" s="39"/>
      <c r="O33" s="39"/>
      <c r="P33" s="48"/>
      <c r="Q33" s="48"/>
      <c r="R33" s="39"/>
      <c r="S33" s="39"/>
      <c r="T33" s="48"/>
      <c r="U33" s="39"/>
      <c r="V33" s="39"/>
      <c r="W33" s="48"/>
      <c r="X33" s="39"/>
    </row>
    <row r="34" spans="1:24" ht="24" x14ac:dyDescent="0.25">
      <c r="A34" s="302"/>
      <c r="B34" s="303"/>
      <c r="C34" s="124" t="s">
        <v>873</v>
      </c>
      <c r="D34" s="125">
        <v>0.25</v>
      </c>
      <c r="E34" s="124">
        <v>0.33</v>
      </c>
      <c r="F34" s="124">
        <f t="shared" si="2"/>
        <v>8.2500000000000004E-2</v>
      </c>
      <c r="G34" s="284"/>
      <c r="H34" s="333"/>
      <c r="I34" s="295"/>
      <c r="J34" s="334"/>
      <c r="K34" s="68"/>
      <c r="L34" s="68"/>
      <c r="M34" s="39"/>
      <c r="N34" s="39"/>
      <c r="O34" s="39"/>
      <c r="P34" s="48"/>
      <c r="Q34" s="48"/>
      <c r="R34" s="39"/>
      <c r="S34" s="39"/>
      <c r="T34" s="48"/>
      <c r="U34" s="39"/>
      <c r="V34" s="39"/>
      <c r="W34" s="48"/>
      <c r="X34" s="39"/>
    </row>
    <row r="35" spans="1:24" ht="24" x14ac:dyDescent="0.25">
      <c r="A35" s="289">
        <v>14</v>
      </c>
      <c r="B35" s="295" t="s">
        <v>205</v>
      </c>
      <c r="C35" s="122" t="s">
        <v>863</v>
      </c>
      <c r="D35" s="123">
        <v>0.7</v>
      </c>
      <c r="E35" s="122">
        <v>0.55000000000000004</v>
      </c>
      <c r="F35" s="122">
        <f t="shared" si="2"/>
        <v>0.38500000000000001</v>
      </c>
      <c r="G35" s="277">
        <f>F35+F36+F37</f>
        <v>0.6028</v>
      </c>
      <c r="H35" s="283">
        <f>G35</f>
        <v>0.6028</v>
      </c>
      <c r="I35" s="295" t="s">
        <v>294</v>
      </c>
      <c r="J35" s="335" t="s">
        <v>1202</v>
      </c>
      <c r="K35" s="68"/>
      <c r="L35" s="68"/>
      <c r="M35" s="39"/>
      <c r="N35" s="39"/>
      <c r="O35" s="39"/>
      <c r="P35" s="39"/>
      <c r="Q35" s="48"/>
      <c r="R35" s="39"/>
      <c r="S35" s="39"/>
      <c r="T35" s="48"/>
      <c r="U35" s="39"/>
      <c r="V35" s="39"/>
      <c r="W35" s="48"/>
      <c r="X35" s="39"/>
    </row>
    <row r="36" spans="1:24" ht="24" x14ac:dyDescent="0.25">
      <c r="A36" s="289"/>
      <c r="B36" s="295"/>
      <c r="C36" s="122" t="s">
        <v>875</v>
      </c>
      <c r="D36" s="123">
        <v>0.46</v>
      </c>
      <c r="E36" s="122">
        <v>0.27</v>
      </c>
      <c r="F36" s="122">
        <f t="shared" si="2"/>
        <v>0.12420000000000002</v>
      </c>
      <c r="G36" s="277"/>
      <c r="H36" s="283"/>
      <c r="I36" s="295"/>
      <c r="J36" s="335"/>
      <c r="K36" s="68"/>
      <c r="L36" s="68"/>
      <c r="M36" s="39"/>
      <c r="N36" s="39"/>
      <c r="O36" s="39"/>
      <c r="P36" s="39"/>
      <c r="Q36" s="48"/>
      <c r="R36" s="39"/>
      <c r="S36" s="39"/>
      <c r="T36" s="48"/>
      <c r="U36" s="39"/>
      <c r="V36" s="39"/>
      <c r="W36" s="48"/>
      <c r="X36" s="39"/>
    </row>
    <row r="37" spans="1:24" ht="24" x14ac:dyDescent="0.25">
      <c r="A37" s="289"/>
      <c r="B37" s="295"/>
      <c r="C37" s="124" t="s">
        <v>874</v>
      </c>
      <c r="D37" s="125">
        <v>0.52</v>
      </c>
      <c r="E37" s="124">
        <v>0.18</v>
      </c>
      <c r="F37" s="122">
        <f t="shared" si="2"/>
        <v>9.3600000000000003E-2</v>
      </c>
      <c r="G37" s="277"/>
      <c r="H37" s="283"/>
      <c r="I37" s="295"/>
      <c r="J37" s="335"/>
      <c r="K37" s="68"/>
      <c r="L37" s="68"/>
      <c r="M37" s="39"/>
      <c r="N37" s="39"/>
      <c r="O37" s="39"/>
      <c r="P37" s="39"/>
      <c r="Q37" s="48"/>
      <c r="R37" s="39"/>
      <c r="S37" s="39"/>
      <c r="T37" s="48"/>
      <c r="U37" s="39"/>
      <c r="V37" s="39"/>
      <c r="W37" s="48"/>
      <c r="X37" s="39"/>
    </row>
    <row r="38" spans="1:24" ht="24" x14ac:dyDescent="0.25">
      <c r="A38" s="302">
        <v>15</v>
      </c>
      <c r="B38" s="303" t="s">
        <v>206</v>
      </c>
      <c r="C38" s="124" t="s">
        <v>872</v>
      </c>
      <c r="D38" s="125">
        <v>0.66</v>
      </c>
      <c r="E38" s="124">
        <v>0.55000000000000004</v>
      </c>
      <c r="F38" s="124">
        <f t="shared" si="2"/>
        <v>0.36300000000000004</v>
      </c>
      <c r="G38" s="284">
        <f>F38+F39+F40</f>
        <v>0.58620000000000005</v>
      </c>
      <c r="H38" s="333">
        <f>G38</f>
        <v>0.58620000000000005</v>
      </c>
      <c r="I38" s="303" t="s">
        <v>294</v>
      </c>
      <c r="J38" s="334" t="s">
        <v>1203</v>
      </c>
      <c r="K38" s="68"/>
      <c r="L38" s="68"/>
      <c r="M38" s="39"/>
      <c r="N38" s="39"/>
      <c r="O38" s="39"/>
      <c r="P38" s="39"/>
      <c r="Q38" s="48"/>
      <c r="R38" s="39"/>
      <c r="S38" s="39"/>
      <c r="T38" s="48"/>
      <c r="U38" s="39"/>
      <c r="V38" s="39"/>
      <c r="W38" s="48"/>
      <c r="X38" s="39"/>
    </row>
    <row r="39" spans="1:24" ht="24" x14ac:dyDescent="0.25">
      <c r="A39" s="302"/>
      <c r="B39" s="303"/>
      <c r="C39" s="124" t="s">
        <v>876</v>
      </c>
      <c r="D39" s="125">
        <v>0.46</v>
      </c>
      <c r="E39" s="124">
        <v>0.18</v>
      </c>
      <c r="F39" s="124">
        <f t="shared" ref="F39:F42" si="3">E39*D39</f>
        <v>8.2799999999999999E-2</v>
      </c>
      <c r="G39" s="284"/>
      <c r="H39" s="333"/>
      <c r="I39" s="303"/>
      <c r="J39" s="334"/>
      <c r="K39" s="68"/>
      <c r="L39" s="68"/>
      <c r="M39" s="39"/>
      <c r="N39" s="39"/>
      <c r="O39" s="39"/>
      <c r="P39" s="39"/>
      <c r="Q39" s="48"/>
      <c r="R39" s="39"/>
      <c r="S39" s="39"/>
      <c r="T39" s="48"/>
      <c r="U39" s="39"/>
      <c r="V39" s="39"/>
      <c r="W39" s="48"/>
      <c r="X39" s="39"/>
    </row>
    <row r="40" spans="1:24" ht="24" x14ac:dyDescent="0.25">
      <c r="A40" s="302"/>
      <c r="B40" s="303"/>
      <c r="C40" s="122" t="s">
        <v>864</v>
      </c>
      <c r="D40" s="123">
        <v>0.52</v>
      </c>
      <c r="E40" s="122">
        <v>0.27</v>
      </c>
      <c r="F40" s="124">
        <f t="shared" si="3"/>
        <v>0.14040000000000002</v>
      </c>
      <c r="G40" s="284"/>
      <c r="H40" s="333"/>
      <c r="I40" s="303"/>
      <c r="J40" s="334"/>
      <c r="K40" s="68"/>
      <c r="L40" s="68"/>
      <c r="M40" s="39"/>
      <c r="N40" s="39"/>
      <c r="O40" s="39"/>
      <c r="P40" s="39"/>
      <c r="Q40" s="48"/>
      <c r="R40" s="39"/>
      <c r="S40" s="39"/>
      <c r="T40" s="48"/>
      <c r="U40" s="39"/>
      <c r="V40" s="39"/>
      <c r="W40" s="48"/>
      <c r="X40" s="39"/>
    </row>
    <row r="41" spans="1:24" ht="24" x14ac:dyDescent="0.25">
      <c r="A41" s="289">
        <v>16</v>
      </c>
      <c r="B41" s="295" t="s">
        <v>207</v>
      </c>
      <c r="C41" s="122" t="s">
        <v>877</v>
      </c>
      <c r="D41" s="123">
        <v>0.69</v>
      </c>
      <c r="E41" s="122">
        <v>0.55000000000000004</v>
      </c>
      <c r="F41" s="122">
        <f t="shared" si="3"/>
        <v>0.3795</v>
      </c>
      <c r="G41" s="277">
        <f>F41+F42+F43</f>
        <v>0.60270000000000001</v>
      </c>
      <c r="H41" s="283">
        <f>G41</f>
        <v>0.60270000000000001</v>
      </c>
      <c r="I41" s="295" t="s">
        <v>298</v>
      </c>
      <c r="J41" s="335" t="s">
        <v>1204</v>
      </c>
      <c r="K41" s="68"/>
      <c r="L41" s="68"/>
      <c r="M41" s="39"/>
      <c r="N41" s="39"/>
      <c r="O41" s="39"/>
      <c r="P41" s="39"/>
      <c r="Q41" s="48"/>
      <c r="R41" s="39"/>
      <c r="S41" s="39"/>
      <c r="T41" s="48"/>
      <c r="U41" s="39"/>
      <c r="V41" s="39"/>
      <c r="W41" s="48"/>
      <c r="X41" s="39"/>
    </row>
    <row r="42" spans="1:24" ht="24" x14ac:dyDescent="0.25">
      <c r="A42" s="289"/>
      <c r="B42" s="295"/>
      <c r="C42" s="122" t="s">
        <v>864</v>
      </c>
      <c r="D42" s="123">
        <v>0.52</v>
      </c>
      <c r="E42" s="122">
        <v>0.27</v>
      </c>
      <c r="F42" s="122">
        <f t="shared" si="3"/>
        <v>0.14040000000000002</v>
      </c>
      <c r="G42" s="277"/>
      <c r="H42" s="283"/>
      <c r="I42" s="295"/>
      <c r="J42" s="335"/>
      <c r="K42" s="68"/>
      <c r="L42" s="68"/>
      <c r="M42" s="39"/>
      <c r="N42" s="39"/>
      <c r="O42" s="39"/>
      <c r="P42" s="39"/>
      <c r="Q42" s="48"/>
      <c r="R42" s="39"/>
      <c r="S42" s="39"/>
      <c r="T42" s="48"/>
      <c r="U42" s="39"/>
      <c r="V42" s="39"/>
      <c r="W42" s="48"/>
      <c r="X42" s="39"/>
    </row>
    <row r="43" spans="1:24" ht="24" x14ac:dyDescent="0.25">
      <c r="A43" s="289"/>
      <c r="B43" s="295"/>
      <c r="C43" s="124" t="s">
        <v>823</v>
      </c>
      <c r="D43" s="125">
        <v>0.46</v>
      </c>
      <c r="E43" s="124">
        <v>0.18</v>
      </c>
      <c r="F43" s="124">
        <f t="shared" ref="F43:F53" si="4">E43*D43</f>
        <v>8.2799999999999999E-2</v>
      </c>
      <c r="G43" s="277"/>
      <c r="H43" s="283"/>
      <c r="I43" s="295"/>
      <c r="J43" s="335"/>
      <c r="K43" s="68"/>
      <c r="L43" s="68"/>
      <c r="M43" s="39"/>
      <c r="N43" s="39"/>
      <c r="O43" s="39"/>
      <c r="P43" s="39"/>
      <c r="Q43" s="48"/>
      <c r="R43" s="39"/>
      <c r="S43" s="39"/>
      <c r="T43" s="48"/>
      <c r="U43" s="39"/>
      <c r="V43" s="39"/>
      <c r="W43" s="48"/>
      <c r="X43" s="39"/>
    </row>
    <row r="44" spans="1:24" ht="48" x14ac:dyDescent="0.2">
      <c r="A44" s="200">
        <v>17</v>
      </c>
      <c r="B44" s="201" t="s">
        <v>208</v>
      </c>
      <c r="C44" s="124" t="s">
        <v>823</v>
      </c>
      <c r="D44" s="125">
        <v>0.46</v>
      </c>
      <c r="E44" s="124">
        <v>1</v>
      </c>
      <c r="F44" s="124">
        <f t="shared" si="4"/>
        <v>0.46</v>
      </c>
      <c r="G44" s="125">
        <v>0.46</v>
      </c>
      <c r="H44" s="125">
        <f>G44</f>
        <v>0.46</v>
      </c>
      <c r="I44" s="104" t="s">
        <v>299</v>
      </c>
      <c r="J44" s="236" t="s">
        <v>1205</v>
      </c>
      <c r="K44" s="68"/>
      <c r="L44" s="68"/>
      <c r="M44" s="39"/>
      <c r="N44" s="39"/>
      <c r="O44" s="39"/>
      <c r="P44" s="39"/>
      <c r="Q44" s="48"/>
      <c r="R44" s="39"/>
      <c r="S44" s="39"/>
      <c r="T44" s="48"/>
      <c r="U44" s="39"/>
      <c r="V44" s="39"/>
      <c r="W44" s="48"/>
      <c r="X44" s="39"/>
    </row>
    <row r="45" spans="1:24" ht="15" x14ac:dyDescent="0.25">
      <c r="A45" s="289">
        <v>18</v>
      </c>
      <c r="B45" s="295" t="s">
        <v>209</v>
      </c>
      <c r="C45" s="122" t="s">
        <v>878</v>
      </c>
      <c r="D45" s="123">
        <v>0.46</v>
      </c>
      <c r="E45" s="122">
        <v>0.67</v>
      </c>
      <c r="F45" s="124">
        <f t="shared" si="4"/>
        <v>0.30820000000000003</v>
      </c>
      <c r="G45" s="277">
        <f>F45+F46</f>
        <v>0.50950000000000006</v>
      </c>
      <c r="H45" s="283">
        <f>G45</f>
        <v>0.50950000000000006</v>
      </c>
      <c r="I45" s="303" t="s">
        <v>299</v>
      </c>
      <c r="J45" s="335" t="s">
        <v>1206</v>
      </c>
      <c r="P45" s="39"/>
      <c r="Q45" s="48"/>
      <c r="R45" s="39"/>
      <c r="S45" s="39"/>
      <c r="T45" s="48"/>
      <c r="U45" s="39"/>
      <c r="V45" s="39"/>
      <c r="W45" s="48"/>
      <c r="X45" s="39"/>
    </row>
    <row r="46" spans="1:24" ht="28.9" customHeight="1" x14ac:dyDescent="0.25">
      <c r="A46" s="289"/>
      <c r="B46" s="295"/>
      <c r="C46" s="122" t="s">
        <v>856</v>
      </c>
      <c r="D46" s="123">
        <v>0.61</v>
      </c>
      <c r="E46" s="122">
        <v>0.33</v>
      </c>
      <c r="F46" s="124">
        <f t="shared" si="4"/>
        <v>0.20130000000000001</v>
      </c>
      <c r="G46" s="277"/>
      <c r="H46" s="283"/>
      <c r="I46" s="303"/>
      <c r="J46" s="335"/>
      <c r="P46" s="39"/>
      <c r="Q46" s="48"/>
      <c r="R46" s="39"/>
      <c r="S46" s="39"/>
      <c r="T46" s="48"/>
      <c r="U46" s="39"/>
      <c r="V46" s="39"/>
      <c r="W46" s="48"/>
      <c r="X46" s="39"/>
    </row>
    <row r="47" spans="1:24" ht="24.6" customHeight="1" x14ac:dyDescent="0.25">
      <c r="A47" s="302">
        <v>19</v>
      </c>
      <c r="B47" s="303" t="s">
        <v>210</v>
      </c>
      <c r="C47" s="124" t="s">
        <v>879</v>
      </c>
      <c r="D47" s="125">
        <v>0.72</v>
      </c>
      <c r="E47" s="124">
        <v>0.55000000000000004</v>
      </c>
      <c r="F47" s="124">
        <f t="shared" si="4"/>
        <v>0.39600000000000002</v>
      </c>
      <c r="G47" s="284">
        <f>F47+F48+F49</f>
        <v>0.66779999999999995</v>
      </c>
      <c r="H47" s="333">
        <f>G47</f>
        <v>0.66779999999999995</v>
      </c>
      <c r="I47" s="303" t="s">
        <v>294</v>
      </c>
      <c r="J47" s="334" t="s">
        <v>887</v>
      </c>
      <c r="Q47" s="44"/>
      <c r="T47" s="44"/>
      <c r="W47" s="44"/>
    </row>
    <row r="48" spans="1:24" ht="15" x14ac:dyDescent="0.25">
      <c r="A48" s="302"/>
      <c r="B48" s="303"/>
      <c r="C48" s="124" t="s">
        <v>881</v>
      </c>
      <c r="D48" s="125">
        <v>0.7</v>
      </c>
      <c r="E48" s="124">
        <v>0.27</v>
      </c>
      <c r="F48" s="124">
        <f t="shared" si="4"/>
        <v>0.189</v>
      </c>
      <c r="G48" s="284"/>
      <c r="H48" s="333"/>
      <c r="I48" s="303"/>
      <c r="J48" s="334"/>
      <c r="Q48" s="44"/>
      <c r="T48" s="44"/>
      <c r="W48" s="44"/>
    </row>
    <row r="49" spans="1:10" x14ac:dyDescent="0.25">
      <c r="A49" s="302"/>
      <c r="B49" s="303"/>
      <c r="C49" s="122" t="s">
        <v>880</v>
      </c>
      <c r="D49" s="123">
        <v>0.46</v>
      </c>
      <c r="E49" s="122">
        <v>0.18</v>
      </c>
      <c r="F49" s="124">
        <f t="shared" si="4"/>
        <v>8.2799999999999999E-2</v>
      </c>
      <c r="G49" s="284"/>
      <c r="H49" s="333"/>
      <c r="I49" s="303"/>
      <c r="J49" s="334"/>
    </row>
    <row r="50" spans="1:10" ht="24.6" customHeight="1" x14ac:dyDescent="0.25">
      <c r="A50" s="289">
        <v>20</v>
      </c>
      <c r="B50" s="295" t="s">
        <v>211</v>
      </c>
      <c r="C50" s="122" t="s">
        <v>882</v>
      </c>
      <c r="D50" s="123">
        <v>0.61</v>
      </c>
      <c r="E50" s="122">
        <v>0.55000000000000004</v>
      </c>
      <c r="F50" s="122">
        <f t="shared" si="4"/>
        <v>0.33550000000000002</v>
      </c>
      <c r="G50" s="277">
        <f>F50+F51+F52</f>
        <v>0.55330000000000001</v>
      </c>
      <c r="H50" s="283">
        <f>G50</f>
        <v>0.55330000000000001</v>
      </c>
      <c r="I50" s="295" t="s">
        <v>293</v>
      </c>
      <c r="J50" s="335" t="s">
        <v>1207</v>
      </c>
    </row>
    <row r="51" spans="1:10" ht="15" customHeight="1" x14ac:dyDescent="0.25">
      <c r="A51" s="289"/>
      <c r="B51" s="295"/>
      <c r="C51" s="122" t="s">
        <v>884</v>
      </c>
      <c r="D51" s="123">
        <v>0.46</v>
      </c>
      <c r="E51" s="122">
        <v>0.27</v>
      </c>
      <c r="F51" s="122">
        <f t="shared" si="4"/>
        <v>0.12420000000000002</v>
      </c>
      <c r="G51" s="277"/>
      <c r="H51" s="283"/>
      <c r="I51" s="295"/>
      <c r="J51" s="335"/>
    </row>
    <row r="52" spans="1:10" ht="15" customHeight="1" x14ac:dyDescent="0.25">
      <c r="A52" s="289"/>
      <c r="B52" s="295"/>
      <c r="C52" s="124" t="s">
        <v>883</v>
      </c>
      <c r="D52" s="125">
        <v>0.52</v>
      </c>
      <c r="E52" s="124">
        <v>0.18</v>
      </c>
      <c r="F52" s="122">
        <f t="shared" si="4"/>
        <v>9.3600000000000003E-2</v>
      </c>
      <c r="G52" s="277"/>
      <c r="H52" s="283"/>
      <c r="I52" s="295"/>
      <c r="J52" s="335"/>
    </row>
    <row r="53" spans="1:10" ht="48" x14ac:dyDescent="0.2">
      <c r="A53" s="200">
        <v>21</v>
      </c>
      <c r="B53" s="201" t="s">
        <v>212</v>
      </c>
      <c r="C53" s="124" t="s">
        <v>824</v>
      </c>
      <c r="D53" s="125">
        <v>0.46</v>
      </c>
      <c r="E53" s="124">
        <v>1</v>
      </c>
      <c r="F53" s="124">
        <f t="shared" si="4"/>
        <v>0.46</v>
      </c>
      <c r="G53" s="124">
        <f>F53</f>
        <v>0.46</v>
      </c>
      <c r="H53" s="125">
        <f>F53</f>
        <v>0.46</v>
      </c>
      <c r="I53" s="104" t="s">
        <v>300</v>
      </c>
      <c r="J53" s="236" t="s">
        <v>1208</v>
      </c>
    </row>
    <row r="58" spans="1:10" x14ac:dyDescent="0.2">
      <c r="A58" s="54"/>
      <c r="B58" s="56"/>
      <c r="C58" s="55"/>
      <c r="D58" s="55"/>
      <c r="E58" s="55"/>
      <c r="F58" s="55"/>
      <c r="G58" s="55"/>
      <c r="H58" s="55"/>
      <c r="I58" s="56"/>
      <c r="J58" s="56"/>
    </row>
    <row r="59" spans="1:10" x14ac:dyDescent="0.2">
      <c r="A59" s="54"/>
      <c r="B59" s="56"/>
      <c r="C59" s="55"/>
      <c r="D59" s="55"/>
      <c r="E59" s="55"/>
      <c r="F59" s="55"/>
      <c r="G59" s="55"/>
      <c r="H59" s="55"/>
      <c r="I59" s="56"/>
      <c r="J59" s="56"/>
    </row>
    <row r="60" spans="1:10" x14ac:dyDescent="0.2">
      <c r="A60" s="57"/>
      <c r="B60" s="83"/>
      <c r="C60" s="58"/>
      <c r="D60" s="58"/>
      <c r="E60" s="58"/>
      <c r="F60" s="58"/>
      <c r="G60" s="58"/>
      <c r="H60" s="58"/>
      <c r="I60" s="83"/>
      <c r="J60" s="59"/>
    </row>
    <row r="61" spans="1:10" ht="37.9" customHeight="1" x14ac:dyDescent="0.2">
      <c r="A61" s="57"/>
      <c r="B61" s="83"/>
      <c r="C61" s="58"/>
      <c r="D61" s="58"/>
      <c r="E61" s="58"/>
      <c r="F61" s="58"/>
      <c r="G61" s="58"/>
      <c r="H61" s="58"/>
      <c r="I61" s="83"/>
      <c r="J61" s="59"/>
    </row>
    <row r="62" spans="1:10" x14ac:dyDescent="0.2">
      <c r="A62" s="57"/>
      <c r="B62" s="83"/>
      <c r="C62" s="58"/>
      <c r="D62" s="58"/>
      <c r="E62" s="58"/>
      <c r="F62" s="58"/>
      <c r="G62" s="58"/>
      <c r="H62" s="58"/>
      <c r="I62" s="83"/>
      <c r="J62" s="59"/>
    </row>
    <row r="63" spans="1:10" x14ac:dyDescent="0.2">
      <c r="A63" s="54"/>
      <c r="B63" s="72"/>
      <c r="C63" s="60"/>
      <c r="D63" s="60"/>
      <c r="E63" s="60"/>
      <c r="F63" s="60"/>
      <c r="G63" s="60"/>
      <c r="H63" s="60"/>
      <c r="I63" s="72"/>
      <c r="J63" s="56"/>
    </row>
    <row r="64" spans="1:10" x14ac:dyDescent="0.2">
      <c r="A64" s="57"/>
      <c r="B64" s="83"/>
      <c r="C64" s="58"/>
      <c r="D64" s="58"/>
      <c r="E64" s="58"/>
      <c r="F64" s="58"/>
      <c r="G64" s="58"/>
      <c r="H64" s="58"/>
      <c r="I64" s="83"/>
      <c r="J64" s="59"/>
    </row>
    <row r="65" spans="1:10" x14ac:dyDescent="0.2">
      <c r="A65" s="54"/>
      <c r="B65" s="72"/>
      <c r="C65" s="60"/>
      <c r="D65" s="60"/>
      <c r="E65" s="60"/>
      <c r="F65" s="60"/>
      <c r="G65" s="60"/>
      <c r="H65" s="60"/>
      <c r="I65" s="72"/>
      <c r="J65" s="56"/>
    </row>
    <row r="66" spans="1:10" x14ac:dyDescent="0.2">
      <c r="A66" s="57"/>
      <c r="B66" s="83"/>
      <c r="C66" s="58"/>
      <c r="D66" s="58"/>
      <c r="E66" s="58"/>
      <c r="F66" s="58"/>
      <c r="G66" s="58"/>
      <c r="H66" s="58"/>
      <c r="I66" s="83"/>
      <c r="J66" s="59"/>
    </row>
    <row r="67" spans="1:10" x14ac:dyDescent="0.2">
      <c r="A67" s="54"/>
      <c r="B67" s="72"/>
      <c r="C67" s="60"/>
      <c r="D67" s="60"/>
      <c r="E67" s="60"/>
      <c r="F67" s="60"/>
      <c r="G67" s="60"/>
      <c r="H67" s="60"/>
      <c r="I67" s="72"/>
      <c r="J67" s="56"/>
    </row>
    <row r="68" spans="1:10" x14ac:dyDescent="0.2">
      <c r="A68" s="57"/>
      <c r="B68" s="83"/>
      <c r="C68" s="58"/>
      <c r="D68" s="58"/>
      <c r="E68" s="58"/>
      <c r="F68" s="58"/>
      <c r="G68" s="58"/>
      <c r="H68" s="58"/>
      <c r="I68" s="83"/>
      <c r="J68" s="59"/>
    </row>
    <row r="69" spans="1:10" x14ac:dyDescent="0.2">
      <c r="A69" s="54"/>
      <c r="B69" s="72"/>
      <c r="C69" s="60"/>
      <c r="D69" s="60"/>
      <c r="E69" s="60"/>
      <c r="F69" s="60"/>
      <c r="G69" s="60"/>
      <c r="H69" s="60"/>
      <c r="I69" s="72"/>
      <c r="J69" s="56"/>
    </row>
    <row r="70" spans="1:10" x14ac:dyDescent="0.2">
      <c r="A70" s="57"/>
      <c r="B70" s="83"/>
      <c r="C70" s="58"/>
      <c r="D70" s="58"/>
      <c r="E70" s="58"/>
      <c r="F70" s="58"/>
      <c r="G70" s="58"/>
      <c r="H70" s="58"/>
      <c r="I70" s="83"/>
      <c r="J70" s="59"/>
    </row>
    <row r="71" spans="1:10" x14ac:dyDescent="0.2">
      <c r="A71" s="54"/>
      <c r="B71" s="72"/>
      <c r="C71" s="60"/>
      <c r="D71" s="60"/>
      <c r="E71" s="60"/>
      <c r="F71" s="60"/>
      <c r="G71" s="60"/>
      <c r="H71" s="60"/>
      <c r="I71" s="72"/>
      <c r="J71" s="56"/>
    </row>
    <row r="72" spans="1:10" x14ac:dyDescent="0.2">
      <c r="A72" s="57"/>
      <c r="B72" s="83"/>
      <c r="C72" s="58"/>
      <c r="D72" s="58"/>
      <c r="E72" s="58"/>
      <c r="F72" s="58"/>
      <c r="G72" s="58"/>
      <c r="H72" s="58"/>
      <c r="I72" s="83"/>
      <c r="J72" s="59"/>
    </row>
    <row r="73" spans="1:10" x14ac:dyDescent="0.2">
      <c r="A73" s="54"/>
      <c r="B73" s="72"/>
      <c r="C73" s="60"/>
      <c r="D73" s="60"/>
      <c r="E73" s="60"/>
      <c r="F73" s="60"/>
      <c r="G73" s="60"/>
      <c r="H73" s="60"/>
      <c r="I73" s="72"/>
      <c r="J73" s="56"/>
    </row>
    <row r="74" spans="1:10" x14ac:dyDescent="0.2">
      <c r="A74" s="57"/>
      <c r="B74" s="83"/>
      <c r="C74" s="58"/>
      <c r="D74" s="58"/>
      <c r="E74" s="58"/>
      <c r="F74" s="58"/>
      <c r="G74" s="58"/>
      <c r="H74" s="58"/>
      <c r="I74" s="83"/>
      <c r="J74" s="59"/>
    </row>
    <row r="75" spans="1:10" x14ac:dyDescent="0.2">
      <c r="A75" s="54"/>
      <c r="B75" s="72"/>
      <c r="C75" s="60"/>
      <c r="D75" s="60"/>
      <c r="E75" s="60"/>
      <c r="F75" s="60"/>
      <c r="G75" s="60"/>
      <c r="H75" s="60"/>
      <c r="I75" s="72"/>
      <c r="J75" s="56"/>
    </row>
    <row r="76" spans="1:10" x14ac:dyDescent="0.2">
      <c r="A76" s="57"/>
      <c r="B76" s="83"/>
      <c r="C76" s="58"/>
      <c r="D76" s="58"/>
      <c r="E76" s="58"/>
      <c r="F76" s="58"/>
      <c r="G76" s="58"/>
      <c r="H76" s="58"/>
      <c r="I76" s="83"/>
      <c r="J76" s="59"/>
    </row>
    <row r="77" spans="1:10" x14ac:dyDescent="0.2">
      <c r="A77" s="54"/>
      <c r="B77" s="72"/>
      <c r="C77" s="60"/>
      <c r="D77" s="60"/>
      <c r="E77" s="60"/>
      <c r="F77" s="60"/>
      <c r="G77" s="60"/>
      <c r="H77" s="60"/>
      <c r="I77" s="72"/>
      <c r="J77" s="56"/>
    </row>
    <row r="78" spans="1:10" x14ac:dyDescent="0.2">
      <c r="A78" s="57"/>
      <c r="B78" s="83"/>
      <c r="C78" s="58"/>
      <c r="D78" s="58"/>
      <c r="E78" s="58"/>
      <c r="F78" s="58"/>
      <c r="G78" s="58"/>
      <c r="H78" s="58"/>
      <c r="I78" s="83"/>
      <c r="J78" s="59"/>
    </row>
    <row r="79" spans="1:10" x14ac:dyDescent="0.2">
      <c r="A79" s="54"/>
      <c r="B79" s="72"/>
      <c r="C79" s="60"/>
      <c r="D79" s="60"/>
      <c r="E79" s="60"/>
      <c r="F79" s="60"/>
      <c r="G79" s="60"/>
      <c r="H79" s="60"/>
      <c r="I79" s="72"/>
      <c r="J79" s="56"/>
    </row>
    <row r="80" spans="1:10" x14ac:dyDescent="0.2">
      <c r="A80" s="57"/>
      <c r="B80" s="83"/>
      <c r="C80" s="58"/>
      <c r="D80" s="58"/>
      <c r="E80" s="58"/>
      <c r="F80" s="58"/>
      <c r="G80" s="58"/>
      <c r="H80" s="58"/>
      <c r="I80" s="83"/>
      <c r="J80" s="59"/>
    </row>
    <row r="81" spans="1:10" x14ac:dyDescent="0.2">
      <c r="A81" s="54"/>
      <c r="B81" s="72"/>
      <c r="C81" s="60"/>
      <c r="D81" s="60"/>
      <c r="E81" s="60"/>
      <c r="F81" s="60"/>
      <c r="G81" s="60"/>
      <c r="H81" s="60"/>
      <c r="I81" s="72"/>
      <c r="J81" s="56"/>
    </row>
    <row r="82" spans="1:10" x14ac:dyDescent="0.2">
      <c r="A82" s="57"/>
      <c r="B82" s="83"/>
      <c r="C82" s="58"/>
      <c r="D82" s="58"/>
      <c r="E82" s="58"/>
      <c r="F82" s="58"/>
      <c r="G82" s="58"/>
      <c r="H82" s="58"/>
      <c r="I82" s="83"/>
      <c r="J82" s="59"/>
    </row>
  </sheetData>
  <mergeCells count="113">
    <mergeCell ref="J3:J5"/>
    <mergeCell ref="B6:B8"/>
    <mergeCell ref="J6:J8"/>
    <mergeCell ref="A6:A8"/>
    <mergeCell ref="G6:G8"/>
    <mergeCell ref="I6:I8"/>
    <mergeCell ref="E1:G1"/>
    <mergeCell ref="H3:H5"/>
    <mergeCell ref="H6:H8"/>
    <mergeCell ref="A11:A12"/>
    <mergeCell ref="E2:G2"/>
    <mergeCell ref="B3:B5"/>
    <mergeCell ref="A3:A5"/>
    <mergeCell ref="G3:G5"/>
    <mergeCell ref="I3:I5"/>
    <mergeCell ref="A24:A25"/>
    <mergeCell ref="B24:B25"/>
    <mergeCell ref="A26:A28"/>
    <mergeCell ref="B26:B28"/>
    <mergeCell ref="A13:A15"/>
    <mergeCell ref="B13:B15"/>
    <mergeCell ref="A16:A18"/>
    <mergeCell ref="B16:B18"/>
    <mergeCell ref="A19:A20"/>
    <mergeCell ref="B19:B20"/>
    <mergeCell ref="G26:G27"/>
    <mergeCell ref="H26:H27"/>
    <mergeCell ref="I26:I27"/>
    <mergeCell ref="A50:A52"/>
    <mergeCell ref="B50:B52"/>
    <mergeCell ref="J13:J15"/>
    <mergeCell ref="J16:J18"/>
    <mergeCell ref="J19:J20"/>
    <mergeCell ref="J21:J23"/>
    <mergeCell ref="A45:A46"/>
    <mergeCell ref="B45:B46"/>
    <mergeCell ref="A47:A49"/>
    <mergeCell ref="B47:B49"/>
    <mergeCell ref="A35:A37"/>
    <mergeCell ref="B35:B37"/>
    <mergeCell ref="A38:A40"/>
    <mergeCell ref="B38:B40"/>
    <mergeCell ref="A41:A43"/>
    <mergeCell ref="B41:B43"/>
    <mergeCell ref="A29:A30"/>
    <mergeCell ref="B29:B30"/>
    <mergeCell ref="A31:A32"/>
    <mergeCell ref="B31:B32"/>
    <mergeCell ref="A33:A34"/>
    <mergeCell ref="B33:B34"/>
    <mergeCell ref="A21:A23"/>
    <mergeCell ref="B21:B23"/>
    <mergeCell ref="J38:J40"/>
    <mergeCell ref="J41:J43"/>
    <mergeCell ref="J45:J46"/>
    <mergeCell ref="J47:J49"/>
    <mergeCell ref="J50:J52"/>
    <mergeCell ref="J24:J25"/>
    <mergeCell ref="J26:J28"/>
    <mergeCell ref="J29:J30"/>
    <mergeCell ref="J31:J32"/>
    <mergeCell ref="J33:J34"/>
    <mergeCell ref="J35:J37"/>
    <mergeCell ref="J9:J10"/>
    <mergeCell ref="J11:J12"/>
    <mergeCell ref="G16:G18"/>
    <mergeCell ref="H16:H18"/>
    <mergeCell ref="I16:I18"/>
    <mergeCell ref="G19:G20"/>
    <mergeCell ref="H19:H20"/>
    <mergeCell ref="I19:I20"/>
    <mergeCell ref="G9:G10"/>
    <mergeCell ref="H9:H10"/>
    <mergeCell ref="I9:I10"/>
    <mergeCell ref="G11:G12"/>
    <mergeCell ref="H11:H12"/>
    <mergeCell ref="I11:I12"/>
    <mergeCell ref="G13:G15"/>
    <mergeCell ref="H13:H15"/>
    <mergeCell ref="I13:I15"/>
    <mergeCell ref="G29:G30"/>
    <mergeCell ref="H29:H30"/>
    <mergeCell ref="I29:I30"/>
    <mergeCell ref="G21:G23"/>
    <mergeCell ref="H21:H23"/>
    <mergeCell ref="I21:I23"/>
    <mergeCell ref="G24:G25"/>
    <mergeCell ref="H24:H25"/>
    <mergeCell ref="I24:I25"/>
    <mergeCell ref="G35:G37"/>
    <mergeCell ref="H35:H37"/>
    <mergeCell ref="I35:I37"/>
    <mergeCell ref="G38:G40"/>
    <mergeCell ref="H38:H40"/>
    <mergeCell ref="I38:I40"/>
    <mergeCell ref="G31:G32"/>
    <mergeCell ref="H31:H32"/>
    <mergeCell ref="I31:I32"/>
    <mergeCell ref="G33:G34"/>
    <mergeCell ref="H33:H34"/>
    <mergeCell ref="I33:I34"/>
    <mergeCell ref="G47:G49"/>
    <mergeCell ref="H47:H49"/>
    <mergeCell ref="I47:I49"/>
    <mergeCell ref="G50:G52"/>
    <mergeCell ref="H50:H52"/>
    <mergeCell ref="I50:I52"/>
    <mergeCell ref="G41:G43"/>
    <mergeCell ref="H41:H43"/>
    <mergeCell ref="I41:I43"/>
    <mergeCell ref="G45:G46"/>
    <mergeCell ref="H45:H46"/>
    <mergeCell ref="I45:I46"/>
  </mergeCells>
  <pageMargins left="0.7" right="0.7" top="0.75" bottom="0.75" header="0.3" footer="0.3"/>
  <pageSetup paperSize="9" scale="1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1. Portfolio- GCF</vt:lpstr>
      <vt:lpstr>2. Portfolio-AF</vt:lpstr>
      <vt:lpstr>3. Portfolio-GEF</vt:lpstr>
      <vt:lpstr>4.Portfolio-ERD</vt:lpstr>
      <vt:lpstr>5. CR Calculati</vt:lpstr>
      <vt:lpstr>5a. GCF Climate Relevance </vt:lpstr>
      <vt:lpstr>5b. AF Climate Relevance</vt:lpstr>
      <vt:lpstr>5c. GEF Climate Relevance</vt:lpstr>
      <vt:lpstr>5d. ERD Climate Relevance </vt:lpstr>
      <vt:lpstr>'2. Portfolio-AF'!Print_Area</vt:lpstr>
      <vt:lpstr>'3. Portfolio-GEF'!Print_Area</vt:lpstr>
      <vt:lpstr>'4.Portfolio-ERD'!Print_Area</vt:lpstr>
      <vt:lpstr>'5. CR Calculati'!Print_Area</vt:lpstr>
      <vt:lpstr>'5a. GCF Climate Relevance '!Print_Area</vt:lpstr>
      <vt:lpstr>'5b. AF Climate Relevance'!Print_Area</vt:lpstr>
      <vt:lpstr>'5c. GEF Climate Relevance'!Print_Area</vt:lpstr>
      <vt:lpstr>'5d. ERD Climate Relevance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Sumaya Siddiqui</dc:creator>
  <cp:lastModifiedBy>MAISHAN NADIS</cp:lastModifiedBy>
  <cp:lastPrinted>2025-10-07T20:04:08Z</cp:lastPrinted>
  <dcterms:created xsi:type="dcterms:W3CDTF">2025-10-07T09:35:27Z</dcterms:created>
  <dcterms:modified xsi:type="dcterms:W3CDTF">2025-10-12T16:32:01Z</dcterms:modified>
</cp:coreProperties>
</file>